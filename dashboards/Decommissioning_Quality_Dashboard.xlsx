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Decommissioning" sheetId="2" state="visible" r:id="rId4"/>
    <sheet name="Alpha" sheetId="3" state="visible" r:id="rId5"/>
    <sheet name="Calder" sheetId="4" state="visible" r:id="rId6"/>
    <sheet name="Repro Decom" sheetId="5" state="visible" r:id="rId7"/>
    <sheet name="Windscale" sheetId="6" state="visible" r:id="rId8"/>
    <sheet name="Settings" sheetId="7" state="visible" r:id="rId9"/>
  </sheets>
  <definedNames>
    <definedName function="false" hidden="false" name="CurLbl" vbProcedure="false">Settings!$B$8</definedName>
    <definedName function="false" hidden="false" name="EQ_G" vbProcedure="false">Settings!$C$16</definedName>
    <definedName function="false" hidden="false" name="EQ_R" vbProcedure="false">Settings!$D$16</definedName>
    <definedName function="false" hidden="false" name="INSP_G" vbProcedure="false">Settings!$C$17</definedName>
    <definedName function="false" hidden="false" name="INSP_R" vbProcedure="false">Settings!$D$17</definedName>
    <definedName function="false" hidden="false" name="LTR_G" vbProcedure="false">Settings!$C$18</definedName>
    <definedName function="false" hidden="false" name="LTR_R" vbProcedure="false">Settings!$D$18</definedName>
    <definedName function="false" hidden="false" name="NCR_G" vbProcedure="false">Settings!$C$15</definedName>
    <definedName function="false" hidden="false" name="NCR_R" vbProcedure="false">Settings!$D$15</definedName>
    <definedName function="false" hidden="false" name="PBI_G" vbProcedure="false">Settings!$C$14</definedName>
    <definedName function="false" hidden="false" name="PBI_R" vbProcedure="false">Settings!$D$14</definedName>
    <definedName function="false" hidden="false" name="PeriodText" vbProcedure="false">Settings!$B$10</definedName>
    <definedName function="false" hidden="false" name="PrevLbl" vbProcedure="false">Settings!$B$9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<sst xmlns="http://schemas.openxmlformats.org/spreadsheetml/2006/main" count="627" uniqueCount="144">
  <si>
    <t xml:space="preserve">Decommissioning Quality Health Dashboard</t>
  </si>
  <si>
    <t xml:space="preserve">Built from the Alpha Quality Health Dashboard slide. One dashboard per operating unit, each broken down by project, all rolling up into the Decommissioning board.</t>
  </si>
  <si>
    <t xml:space="preserve">Sheets</t>
  </si>
  <si>
    <t xml:space="preserve">Decommissioning</t>
  </si>
  <si>
    <t xml:space="preserve">Central board. Decommissioning totals, performance by operating unit, DNWP Lot 1 matrix (Amentum and A2R), and escalations and SOFT pulled from each unit.</t>
  </si>
  <si>
    <t xml:space="preserve">Alpha / Calder / Repro Decom / Windscale</t>
  </si>
  <si>
    <t xml:space="preserve">One dashboard per operating unit, laid out like the slide: PowerBI data (previous and current period), Quality Performance, Escalations, commentary by project, SOFT, project performance and project data entry.</t>
  </si>
  <si>
    <t xml:space="preserve">Settings</t>
  </si>
  <si>
    <t xml:space="preserve">Period number, report date and every RAG threshold. Change them once here and they apply to all dashboards.</t>
  </si>
  <si>
    <t xml:space="preserve">Each period</t>
  </si>
  <si>
    <t xml:space="preserve">1. Settings: update the current and previous period numbers and the report date.</t>
  </si>
  <si>
    <t xml:space="preserve">2. Each operating unit sheet: before typing new figures, copy the current-period PowerBI table and paste it into the previous-period table as values (Paste Special &gt; Values). The previous-period tiles then show last period.</t>
  </si>
  <si>
    <t xml:space="preserve">3. Enter the new figures in each operating unit's 'Project data entry' tables (Done and Total for each project). Live NCRs is a single count per project.</t>
  </si>
  <si>
    <t xml:space="preserve">4. Add commentary by project, escalations and SOFT entries on each operating unit sheet. These appear on the Decommissioning board automatically.</t>
  </si>
  <si>
    <t xml:space="preserve">5. Decommissioning sheet: set each DNWP Lot 1 measure to Red or Green for Amentum and A2R, add commentary, and add any Decommissioning-level escalations.</t>
  </si>
  <si>
    <t xml:space="preserve">Colour key</t>
  </si>
  <si>
    <t xml:space="preserve">Example</t>
  </si>
  <si>
    <t xml:space="preserve">Input cell. Type here.</t>
  </si>
  <si>
    <t xml:space="preserve">Green</t>
  </si>
  <si>
    <t xml:space="preserve">Amber</t>
  </si>
  <si>
    <t xml:space="preserve">Red</t>
  </si>
  <si>
    <t xml:space="preserve">Red, or Done greater than Total in data entry</t>
  </si>
  <si>
    <t xml:space="preserve">N/A: no data entered</t>
  </si>
  <si>
    <t xml:space="preserve">N/A: no data entered, or a total of 0</t>
  </si>
  <si>
    <t xml:space="preserve">Example data-entry row (format only)</t>
  </si>
  <si>
    <t xml:space="preserve">Project</t>
  </si>
  <si>
    <t xml:space="preserve">CRs Done</t>
  </si>
  <si>
    <t xml:space="preserve">CRs Total</t>
  </si>
  <si>
    <t xml:space="preserve">IERs Done</t>
  </si>
  <si>
    <t xml:space="preserve">IERs Total</t>
  </si>
  <si>
    <t xml:space="preserve">…</t>
  </si>
  <si>
    <t xml:space="preserve">B203</t>
  </si>
  <si>
    <t xml:space="preserve">This gives CRs Sentenced on time 80.0% (12/15), Amber, and IERs 100.0% (4/4), Green. Illustrative only; the workbook ships blank.</t>
  </si>
  <si>
    <t xml:space="preserve">How the figures are worked out</t>
  </si>
  <si>
    <t xml:space="preserve">• Percentages are Done ÷ Total. Project rows add up to the operating unit total, and the operating units add up to the Decommissioning total, so a large project counts for more than a small one.</t>
  </si>
  <si>
    <t xml:space="preserve">• Live NCRs are added together across projects and operating units.</t>
  </si>
  <si>
    <t xml:space="preserve">• Percentages show one decimal place so the colour always matches the number shown (e.g. 74.7% is Red, under 75%).</t>
  </si>
  <si>
    <t xml:space="preserve">• RAG bands are taken from the slide legends and can be changed on the Settings sheet.</t>
  </si>
  <si>
    <t xml:space="preserve">• Calder, Repro Decom and Windscale project names are placeholders (Project 1–6). Type the real names in the first column of each sheet's first data-entry table. There are 8 project rows per unit.</t>
  </si>
  <si>
    <t xml:space="preserve">Totals are the sum of every operating unit's project figures (Done ÷ Total), not an average of percentages.</t>
  </si>
  <si>
    <t xml:space="preserve">PowerBI Data</t>
  </si>
  <si>
    <t xml:space="preserve">RAG</t>
  </si>
  <si>
    <t xml:space="preserve">CRs Sentenced on time</t>
  </si>
  <si>
    <t xml:space="preserve">IERs Sentenced on time</t>
  </si>
  <si>
    <t xml:space="preserve">Investigations approved on time</t>
  </si>
  <si>
    <t xml:space="preserve">LITF Completed</t>
  </si>
  <si>
    <t xml:space="preserve">Assurances completed on time</t>
  </si>
  <si>
    <t xml:space="preserve">ATLAS Actions completed on time</t>
  </si>
  <si>
    <t xml:space="preserve">Change</t>
  </si>
  <si>
    <t xml:space="preserve">Quality Performance</t>
  </si>
  <si>
    <t xml:space="preserve">Non-Conformances (live NCRs)</t>
  </si>
  <si>
    <t xml:space="preserve">Engineering Queries</t>
  </si>
  <si>
    <t xml:space="preserve">Inspection Performance</t>
  </si>
  <si>
    <t xml:space="preserve">Lifetime Records</t>
  </si>
  <si>
    <t xml:space="preserve">Decommissioning escalations</t>
  </si>
  <si>
    <t xml:space="preserve">PowerBI data</t>
  </si>
  <si>
    <t xml:space="preserve">Operating unit</t>
  </si>
  <si>
    <t xml:space="preserve">Decommissioning total</t>
  </si>
  <si>
    <t xml:space="preserve">Choose Red or Green from the drop-down in each cell.</t>
  </si>
  <si>
    <t xml:space="preserve">Contracting company</t>
  </si>
  <si>
    <t xml:space="preserve">NCRs</t>
  </si>
  <si>
    <t xml:space="preserve">Supply Chain RFT</t>
  </si>
  <si>
    <t xml:space="preserve">NOIs</t>
  </si>
  <si>
    <t xml:space="preserve">Assurance Activities</t>
  </si>
  <si>
    <t xml:space="preserve">Assurance Actions</t>
  </si>
  <si>
    <t xml:space="preserve">LTR Adherence</t>
  </si>
  <si>
    <t xml:space="preserve">Amentum</t>
  </si>
  <si>
    <t xml:space="preserve">A2R</t>
  </si>
  <si>
    <t xml:space="preserve">Amentum commentary</t>
  </si>
  <si>
    <t xml:space="preserve">A2R commentary</t>
  </si>
  <si>
    <t xml:space="preserve">Escalations by operating unit</t>
  </si>
  <si>
    <t xml:space="preserve">Alpha</t>
  </si>
  <si>
    <t xml:space="preserve">Calder</t>
  </si>
  <si>
    <t xml:space="preserve">Repro Decom</t>
  </si>
  <si>
    <t xml:space="preserve">Windscale</t>
  </si>
  <si>
    <t xml:space="preserve">SOFT by operating unit</t>
  </si>
  <si>
    <t xml:space="preserve">Success</t>
  </si>
  <si>
    <t xml:space="preserve">Opportunities</t>
  </si>
  <si>
    <t xml:space="preserve">Failures</t>
  </si>
  <si>
    <t xml:space="preserve">Threats</t>
  </si>
  <si>
    <t xml:space="preserve">Roll-up data – calculated from the operating unit sheets (do not edit)</t>
  </si>
  <si>
    <t xml:space="preserve">Done</t>
  </si>
  <si>
    <t xml:space="preserve">Total</t>
  </si>
  <si>
    <t xml:space="preserve">Live NCRs</t>
  </si>
  <si>
    <t xml:space="preserve">Alpha Quality Health Dashboard</t>
  </si>
  <si>
    <t xml:space="preserve">Escalations</t>
  </si>
  <si>
    <t xml:space="preserve">Quality Performance commentary by project</t>
  </si>
  <si>
    <t xml:space="preserve">Non-Conformances</t>
  </si>
  <si>
    <t xml:space="preserve">Alpha (general)</t>
  </si>
  <si>
    <t xml:space="preserve">SOFT – Successes, Opportunities, Failures, Threats</t>
  </si>
  <si>
    <t xml:space="preserve">Area</t>
  </si>
  <si>
    <t xml:space="preserve">Alpha Decom Ops</t>
  </si>
  <si>
    <t xml:space="preserve">Alpha total</t>
  </si>
  <si>
    <t xml:space="preserve">Project data entry</t>
  </si>
  <si>
    <t xml:space="preserve">Enter, for each project, the number completed on time (Done) and the number due (Total). Project names typed in the first table flow through the whole sheet. Done greater than Total turns red.</t>
  </si>
  <si>
    <t xml:space="preserve">B277</t>
  </si>
  <si>
    <t xml:space="preserve">B242</t>
  </si>
  <si>
    <t xml:space="preserve">B33</t>
  </si>
  <si>
    <t xml:space="preserve">B229</t>
  </si>
  <si>
    <t xml:space="preserve">NGC</t>
  </si>
  <si>
    <t xml:space="preserve">Calder Quality Health Dashboard</t>
  </si>
  <si>
    <t xml:space="preserve">Calder (general)</t>
  </si>
  <si>
    <t xml:space="preserve">Calder Decom Ops</t>
  </si>
  <si>
    <t xml:space="preserve">Calder total</t>
  </si>
  <si>
    <t xml:space="preserve">Project 1</t>
  </si>
  <si>
    <t xml:space="preserve">Project 2</t>
  </si>
  <si>
    <t xml:space="preserve">Project 3</t>
  </si>
  <si>
    <t xml:space="preserve">Project 4</t>
  </si>
  <si>
    <t xml:space="preserve">Project 5</t>
  </si>
  <si>
    <t xml:space="preserve">Project 6</t>
  </si>
  <si>
    <t xml:space="preserve">Repro Decom Quality Health Dashboard</t>
  </si>
  <si>
    <t xml:space="preserve">Repro Decom (general)</t>
  </si>
  <si>
    <t xml:space="preserve">Repro Decom Decom Ops</t>
  </si>
  <si>
    <t xml:space="preserve">Repro Decom total</t>
  </si>
  <si>
    <t xml:space="preserve">Windscale Quality Health Dashboard</t>
  </si>
  <si>
    <t xml:space="preserve">Windscale (general)</t>
  </si>
  <si>
    <t xml:space="preserve">Windscale Decom Ops</t>
  </si>
  <si>
    <t xml:space="preserve">Windscale total</t>
  </si>
  <si>
    <t xml:space="preserve">Pale yellow cells are inputs. Everything else is calculated.</t>
  </si>
  <si>
    <t xml:space="preserve">Reporting period</t>
  </si>
  <si>
    <t xml:space="preserve">Current period number</t>
  </si>
  <si>
    <t xml:space="preserve">From the source slide: “Period 7 – 23/10/2026”.</t>
  </si>
  <si>
    <t xml:space="preserve">Previous period number</t>
  </si>
  <si>
    <t xml:space="preserve">Report date</t>
  </si>
  <si>
    <t xml:space="preserve">Current period label</t>
  </si>
  <si>
    <t xml:space="preserve">Previous period label</t>
  </si>
  <si>
    <t xml:space="preserve">Dashboard heading</t>
  </si>
  <si>
    <t xml:space="preserve">RAG thresholds</t>
  </si>
  <si>
    <t xml:space="preserve">Measure</t>
  </si>
  <si>
    <t xml:space="preserve">Applies to</t>
  </si>
  <si>
    <t xml:space="preserve">Green when</t>
  </si>
  <si>
    <t xml:space="preserve">Red when</t>
  </si>
  <si>
    <t xml:space="preserve">Notes</t>
  </si>
  <si>
    <t xml:space="preserve">PowerBI KPIs</t>
  </si>
  <si>
    <t xml:space="preserve">CRs, IERs, Investigations, LITF, Assurances, ATLAS Actions</t>
  </si>
  <si>
    <t xml:space="preserve">Slide legend: &gt;90% / 75%–90% / &lt;75%. Green is strictly above, Red strictly below; anything between is Amber.</t>
  </si>
  <si>
    <t xml:space="preserve">Live NCR count (lower is better)</t>
  </si>
  <si>
    <t xml:space="preserve">Slide legend: 1 to 2 / 3–5 / 6+. Green when at or below; Red when at or above. 0 live NCRs is Green.</t>
  </si>
  <si>
    <t xml:space="preserve">% closed on time</t>
  </si>
  <si>
    <t xml:space="preserve">Slide legend: &gt;80% / 70%–80% / &lt;70%.</t>
  </si>
  <si>
    <t xml:space="preserve">% completed</t>
  </si>
  <si>
    <t xml:space="preserve">Slide legend: &gt;95% / 90%–94% / &lt;90%. Exactly 95% is treated as Amber.</t>
  </si>
  <si>
    <t xml:space="preserve">% compliant</t>
  </si>
  <si>
    <t xml:space="preserve">Slide legend: &gt;95% / 70%–95% / &lt;70%.</t>
  </si>
</sst>
</file>

<file path=xl/styles.xml><?xml version="1.0" encoding="utf-8"?>
<styleSheet xmlns="http://schemas.openxmlformats.org/spreadsheetml/2006/main">
  <numFmts count="5">
    <numFmt numFmtId="164" formatCode="General"/>
    <numFmt numFmtId="165" formatCode="0.0%"/>
    <numFmt numFmtId="166" formatCode="0"/>
    <numFmt numFmtId="167" formatCode="dd/mm/yyyy"/>
    <numFmt numFmtId="168" formatCode="0%"/>
  </numFmts>
  <fonts count="30">
    <font>
      <sz val="11"/>
      <color theme="1"/>
      <name val="Calibri"/>
      <family val="2"/>
      <charset val="1"/>
    </font>
    <font>
      <sz val="10"/>
      <name val="Arial"/>
      <family val="0"/>
    </font>
    <font>
      <sz val="10"/>
      <name val="Arial"/>
      <family val="0"/>
    </font>
    <font>
      <sz val="10"/>
      <name val="Arial"/>
      <family val="0"/>
    </font>
    <font>
      <b val="true"/>
      <sz val="20"/>
      <color rgb="FF003340"/>
      <name val="Arial"/>
      <family val="0"/>
      <charset val="1"/>
    </font>
    <font>
      <i val="true"/>
      <sz val="10"/>
      <color rgb="FF5A6B70"/>
      <name val="Arial"/>
      <family val="0"/>
      <charset val="1"/>
    </font>
    <font>
      <b val="true"/>
      <sz val="12"/>
      <color rgb="FFFFFFFF"/>
      <name val="Arial"/>
      <family val="0"/>
      <charset val="1"/>
    </font>
    <font>
      <b val="true"/>
      <sz val="10"/>
      <color rgb="FF0B3440"/>
      <name val="Arial"/>
      <family val="0"/>
      <charset val="1"/>
    </font>
    <font>
      <sz val="10"/>
      <color rgb="FF0B3440"/>
      <name val="Arial"/>
      <family val="0"/>
      <charset val="1"/>
    </font>
    <font>
      <b val="true"/>
      <sz val="10"/>
      <color rgb="FF0000FF"/>
      <name val="Arial"/>
      <family val="0"/>
      <charset val="1"/>
    </font>
    <font>
      <b val="true"/>
      <sz val="10"/>
      <color rgb="FF000000"/>
      <name val="Arial"/>
      <family val="0"/>
      <charset val="1"/>
    </font>
    <font>
      <b val="true"/>
      <sz val="10"/>
      <color rgb="FFFFFFFF"/>
      <name val="Arial"/>
      <family val="0"/>
      <charset val="1"/>
    </font>
    <font>
      <b val="true"/>
      <sz val="10"/>
      <color rgb="FF404040"/>
      <name val="Arial"/>
      <family val="0"/>
      <charset val="1"/>
    </font>
    <font>
      <b val="true"/>
      <sz val="9"/>
      <color rgb="FF0B3440"/>
      <name val="Arial"/>
      <family val="0"/>
      <charset val="1"/>
    </font>
    <font>
      <sz val="10"/>
      <color rgb="FF0000FF"/>
      <name val="Arial"/>
      <family val="0"/>
      <charset val="1"/>
    </font>
    <font>
      <i val="true"/>
      <sz val="9"/>
      <color rgb="FF5A6B70"/>
      <name val="Arial"/>
      <family val="0"/>
      <charset val="1"/>
    </font>
    <font>
      <sz val="16"/>
      <color rgb="FF003340"/>
      <name val="Arial"/>
      <family val="0"/>
      <charset val="1"/>
    </font>
    <font>
      <b val="true"/>
      <sz val="9"/>
      <color rgb="FFFFFFFF"/>
      <name val="Arial"/>
      <family val="0"/>
      <charset val="1"/>
    </font>
    <font>
      <b val="true"/>
      <sz val="12"/>
      <color rgb="FF0B3440"/>
      <name val="Arial"/>
      <family val="0"/>
      <charset val="1"/>
    </font>
    <font>
      <sz val="8"/>
      <color rgb="FF0B3440"/>
      <name val="Arial"/>
      <family val="0"/>
      <charset val="1"/>
    </font>
    <font>
      <b val="true"/>
      <sz val="11"/>
      <color rgb="FF0B3440"/>
      <name val="Arial"/>
      <family val="0"/>
      <charset val="1"/>
    </font>
    <font>
      <b val="true"/>
      <sz val="18"/>
      <color rgb="FF0B3440"/>
      <name val="Arial"/>
      <family val="0"/>
      <charset val="1"/>
    </font>
    <font>
      <i val="true"/>
      <sz val="8"/>
      <color rgb="FF5A6B70"/>
      <name val="Arial"/>
      <family val="0"/>
      <charset val="1"/>
    </font>
    <font>
      <sz val="7"/>
      <color rgb="FF5A6B70"/>
      <name val="Arial"/>
      <family val="0"/>
      <charset val="1"/>
    </font>
    <font>
      <b val="true"/>
      <sz val="10"/>
      <color rgb="FF003340"/>
      <name val="Arial"/>
      <family val="0"/>
      <charset val="1"/>
    </font>
    <font>
      <b val="true"/>
      <u val="single"/>
      <sz val="10"/>
      <color rgb="FF0563C1"/>
      <name val="Arial"/>
      <family val="0"/>
      <charset val="1"/>
    </font>
    <font>
      <sz val="9"/>
      <color rgb="FF0B3440"/>
      <name val="Arial"/>
      <family val="0"/>
      <charset val="1"/>
    </font>
    <font>
      <b val="true"/>
      <sz val="8"/>
      <color rgb="FF0B3440"/>
      <name val="Arial"/>
      <family val="0"/>
      <charset val="1"/>
    </font>
    <font>
      <u val="single"/>
      <sz val="9"/>
      <color rgb="FF0563C1"/>
      <name val="Arial"/>
      <family val="0"/>
      <charset val="1"/>
    </font>
    <font>
      <b val="true"/>
      <sz val="18"/>
      <color rgb="FF003340"/>
      <name val="Arial"/>
      <family val="0"/>
      <charset val="1"/>
    </font>
  </fonts>
  <fills count="11">
    <fill>
      <patternFill patternType="none"/>
    </fill>
    <fill>
      <patternFill patternType="gray125"/>
    </fill>
    <fill>
      <patternFill patternType="solid">
        <fgColor rgb="FF003340"/>
        <bgColor rgb="FF0B3440"/>
      </patternFill>
    </fill>
    <fill>
      <patternFill patternType="solid">
        <fgColor rgb="FFFFF7D6"/>
        <bgColor rgb="FFEEF3F5"/>
      </patternFill>
    </fill>
    <fill>
      <patternFill patternType="solid">
        <fgColor rgb="FF92D050"/>
        <bgColor rgb="FFBFCBD0"/>
      </patternFill>
    </fill>
    <fill>
      <patternFill patternType="solid">
        <fgColor rgb="FFFFC000"/>
        <bgColor rgb="FFFF9900"/>
      </patternFill>
    </fill>
    <fill>
      <patternFill patternType="solid">
        <fgColor rgb="FFFF0000"/>
        <bgColor rgb="FF993300"/>
      </patternFill>
    </fill>
    <fill>
      <patternFill patternType="solid">
        <fgColor rgb="FFD9D9D9"/>
        <bgColor rgb="FFDCE6EA"/>
      </patternFill>
    </fill>
    <fill>
      <patternFill patternType="solid">
        <fgColor rgb="FFDCE6EA"/>
        <bgColor rgb="FFD9D9D9"/>
      </patternFill>
    </fill>
    <fill>
      <patternFill patternType="solid">
        <fgColor rgb="FFFFFFFF"/>
        <bgColor rgb="FFEEF3F5"/>
      </patternFill>
    </fill>
    <fill>
      <patternFill patternType="solid">
        <fgColor rgb="FFEEF3F5"/>
        <bgColor rgb="FFFFFFFF"/>
      </patternFill>
    </fill>
  </fills>
  <borders count="2">
    <border diagonalUp="false" diagonalDown="false">
      <left/>
      <right/>
      <top/>
      <bottom/>
      <diagonal/>
    </border>
    <border diagonalUp="false" diagonalDown="false">
      <left style="thin">
        <color rgb="FFBFCBD0"/>
      </left>
      <right style="thin">
        <color rgb="FFBFCBD0"/>
      </right>
      <top style="thin">
        <color rgb="FFBFCBD0"/>
      </top>
      <bottom style="thin">
        <color rgb="FFBFCB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6" fillId="0" borderId="0" xfId="0" applyFont="true" applyBorder="true" applyAlignment="true" applyProtection="false">
      <alignment horizontal="right" vertical="center" textRotation="0" wrapText="false" indent="0" shrinkToFit="false"/>
      <protection locked="true" hidden="false"/>
    </xf>
    <xf numFmtId="164" fontId="13" fillId="9" borderId="0" xfId="0" applyFont="true" applyBorder="false" applyAlignment="true" applyProtection="false">
      <alignment horizontal="center"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true" indent="0" shrinkToFit="false"/>
      <protection locked="true" hidden="false"/>
    </xf>
    <xf numFmtId="164" fontId="13" fillId="5" borderId="0" xfId="0" applyFont="true" applyBorder="false" applyAlignment="true" applyProtection="false">
      <alignment horizontal="center" vertical="center" textRotation="0" wrapText="true" indent="0" shrinkToFit="false"/>
      <protection locked="true" hidden="false"/>
    </xf>
    <xf numFmtId="164" fontId="17" fillId="6"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5" fontId="18"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left" vertical="center" textRotation="0" wrapText="true" indent="0" shrinkToFit="false"/>
      <protection locked="true" hidden="false"/>
    </xf>
    <xf numFmtId="165" fontId="21" fillId="0"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22" fillId="0" borderId="0"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6" fontId="21" fillId="0" borderId="0" xfId="0" applyFont="true" applyBorder="true" applyAlignment="true" applyProtection="false">
      <alignment horizontal="center" vertical="center" textRotation="0" wrapText="true" indent="0" shrinkToFit="false"/>
      <protection locked="true" hidden="false"/>
    </xf>
    <xf numFmtId="164" fontId="24" fillId="10" borderId="0" xfId="0" applyFont="true" applyBorder="false" applyAlignment="true" applyProtection="false">
      <alignment horizontal="left" vertical="center"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25"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26" fillId="3"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7" fillId="8"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6" fontId="7" fillId="8" borderId="1"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true" applyAlignment="true" applyProtection="false">
      <alignment horizontal="right"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6" fontId="14" fillId="3" borderId="1"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false" applyAlignment="true" applyProtection="false">
      <alignment horizontal="left" vertical="center" textRotation="0" wrapText="true" indent="0" shrinkToFit="false"/>
      <protection locked="true" hidden="false"/>
    </xf>
    <xf numFmtId="166" fontId="9" fillId="3" borderId="1" xfId="0" applyFont="true" applyBorder="true" applyAlignment="true" applyProtection="false">
      <alignment horizontal="left" vertical="bottom" textRotation="0" wrapText="false" indent="0" shrinkToFit="false"/>
      <protection locked="true" hidden="false"/>
    </xf>
    <xf numFmtId="167" fontId="9" fillId="3" borderId="1" xfId="0" applyFont="true" applyBorder="true" applyAlignment="true" applyProtection="false">
      <alignment horizontal="left" vertical="bottom" textRotation="0" wrapText="false" indent="0" shrinkToFit="false"/>
      <protection locked="true" hidden="false"/>
    </xf>
    <xf numFmtId="168" fontId="9" fillId="3"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left" vertical="center" textRotation="0" wrapText="true" indent="0" shrinkToFit="false"/>
      <protection locked="true" hidden="false"/>
    </xf>
    <xf numFmtId="166" fontId="9"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FFFFFF"/>
      </font>
      <fill>
        <patternFill>
          <bgColor rgb="FFFF0000"/>
        </patternFill>
      </fill>
    </dxf>
    <dxf>
      <font>
        <name val="Arial"/>
        <charset val="1"/>
        <family val="0"/>
        <b val="1"/>
        <color rgb="FF000000"/>
      </font>
      <fill>
        <patternFill>
          <bgColor rgb="FF92D050"/>
        </patternFill>
      </fill>
    </dxf>
    <dxf>
      <font>
        <name val="Arial"/>
        <charset val="1"/>
        <family val="0"/>
        <b val="1"/>
        <color rgb="FF000000"/>
      </font>
      <fill>
        <patternFill>
          <bgColor rgb="FFFFC000"/>
        </patternFill>
      </fill>
    </dxf>
    <dxf>
      <font>
        <name val="Arial"/>
        <charset val="1"/>
        <family val="0"/>
        <b val="1"/>
        <color rgb="FF404040"/>
      </font>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7A"/>
      <rgbColor rgb="FFBFCBD0"/>
      <rgbColor rgb="FF7F8C8D"/>
      <rgbColor rgb="FF9999FF"/>
      <rgbColor rgb="FF993366"/>
      <rgbColor rgb="FFFFF7D6"/>
      <rgbColor rgb="FFEEF3F5"/>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CE6EA"/>
      <rgbColor rgb="FFCCFFCC"/>
      <rgbColor rgb="FFFFFF99"/>
      <rgbColor rgb="FF99CCFF"/>
      <rgbColor rgb="FFFF99CC"/>
      <rgbColor rgb="FFCC99FF"/>
      <rgbColor rgb="FFFFCC99"/>
      <rgbColor rgb="FF3366FF"/>
      <rgbColor rgb="FF33CCCC"/>
      <rgbColor rgb="FF92D050"/>
      <rgbColor rgb="FFFFC000"/>
      <rgbColor rgb="FFFF9900"/>
      <rgbColor rgb="FFFF6600"/>
      <rgbColor rgb="FF5A6B70"/>
      <rgbColor rgb="FF969696"/>
      <rgbColor rgb="FF003340"/>
      <rgbColor rgb="FF339966"/>
      <rgbColor rgb="FF0B344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8D"/>
    <pageSetUpPr fitToPage="true"/>
  </sheetPr>
  <dimension ref="B2: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7" min="3" style="0" width="16"/>
    <col collapsed="false" customWidth="true" hidden="false" outlineLevel="0" max="8" min="8" style="0" width="40"/>
  </cols>
  <sheetData>
    <row r="2" customFormat="false" ht="24.45" hidden="false" customHeight="true" outlineLevel="0" collapsed="false">
      <c r="B2" s="1" t="s">
        <v>0</v>
      </c>
      <c r="C2" s="1"/>
      <c r="D2" s="1"/>
      <c r="E2" s="1"/>
      <c r="F2" s="1"/>
      <c r="G2" s="1"/>
      <c r="H2" s="1"/>
    </row>
    <row r="3" customFormat="false" ht="27.75" hidden="false" customHeight="true" outlineLevel="0" collapsed="false">
      <c r="B3" s="2" t="s">
        <v>1</v>
      </c>
      <c r="C3" s="2"/>
      <c r="D3" s="2"/>
      <c r="E3" s="2"/>
      <c r="F3" s="2"/>
      <c r="G3" s="2"/>
      <c r="H3" s="2"/>
    </row>
    <row r="5" customFormat="false" ht="21.75" hidden="false" customHeight="true" outlineLevel="0" collapsed="false">
      <c r="B5" s="3" t="s">
        <v>2</v>
      </c>
      <c r="C5" s="4"/>
      <c r="D5" s="4"/>
      <c r="E5" s="4"/>
      <c r="F5" s="4"/>
      <c r="G5" s="4"/>
      <c r="H5" s="4"/>
    </row>
    <row r="6" customFormat="false" ht="43.5" hidden="false" customHeight="true" outlineLevel="0" collapsed="false">
      <c r="B6" s="5" t="s">
        <v>3</v>
      </c>
      <c r="C6" s="6" t="s">
        <v>4</v>
      </c>
      <c r="D6" s="6"/>
      <c r="E6" s="6"/>
      <c r="F6" s="6"/>
      <c r="G6" s="6"/>
      <c r="H6" s="6"/>
    </row>
    <row r="7" customFormat="false" ht="43.5" hidden="false" customHeight="true" outlineLevel="0" collapsed="false">
      <c r="B7" s="5" t="s">
        <v>5</v>
      </c>
      <c r="C7" s="6" t="s">
        <v>6</v>
      </c>
      <c r="D7" s="6"/>
      <c r="E7" s="6"/>
      <c r="F7" s="6"/>
      <c r="G7" s="6"/>
      <c r="H7" s="6"/>
    </row>
    <row r="8" customFormat="false" ht="43.5" hidden="false" customHeight="true" outlineLevel="0" collapsed="false">
      <c r="B8" s="5" t="s">
        <v>7</v>
      </c>
      <c r="C8" s="6" t="s">
        <v>8</v>
      </c>
      <c r="D8" s="6"/>
      <c r="E8" s="6"/>
      <c r="F8" s="6"/>
      <c r="G8" s="6"/>
      <c r="H8" s="6"/>
    </row>
    <row r="10" customFormat="false" ht="21.75" hidden="false" customHeight="true" outlineLevel="0" collapsed="false">
      <c r="B10" s="3" t="s">
        <v>9</v>
      </c>
      <c r="C10" s="4"/>
      <c r="D10" s="4"/>
      <c r="E10" s="4"/>
      <c r="F10" s="4"/>
      <c r="G10" s="4"/>
      <c r="H10" s="4"/>
    </row>
    <row r="11" customFormat="false" ht="31.5" hidden="false" customHeight="true" outlineLevel="0" collapsed="false">
      <c r="B11" s="7" t="s">
        <v>10</v>
      </c>
      <c r="C11" s="7"/>
      <c r="D11" s="7"/>
      <c r="E11" s="7"/>
      <c r="F11" s="7"/>
      <c r="G11" s="7"/>
      <c r="H11" s="7"/>
    </row>
    <row r="12" customFormat="false" ht="31.5" hidden="false" customHeight="true" outlineLevel="0" collapsed="false">
      <c r="B12" s="7" t="s">
        <v>11</v>
      </c>
      <c r="C12" s="7"/>
      <c r="D12" s="7"/>
      <c r="E12" s="7"/>
      <c r="F12" s="7"/>
      <c r="G12" s="7"/>
      <c r="H12" s="7"/>
    </row>
    <row r="13" customFormat="false" ht="31.5" hidden="false" customHeight="true" outlineLevel="0" collapsed="false">
      <c r="B13" s="7" t="s">
        <v>12</v>
      </c>
      <c r="C13" s="7"/>
      <c r="D13" s="7"/>
      <c r="E13" s="7"/>
      <c r="F13" s="7"/>
      <c r="G13" s="7"/>
      <c r="H13" s="7"/>
    </row>
    <row r="14" customFormat="false" ht="31.5" hidden="false" customHeight="true" outlineLevel="0" collapsed="false">
      <c r="B14" s="7" t="s">
        <v>13</v>
      </c>
      <c r="C14" s="7"/>
      <c r="D14" s="7"/>
      <c r="E14" s="7"/>
      <c r="F14" s="7"/>
      <c r="G14" s="7"/>
      <c r="H14" s="7"/>
    </row>
    <row r="15" customFormat="false" ht="31.5" hidden="false" customHeight="true" outlineLevel="0" collapsed="false">
      <c r="B15" s="7" t="s">
        <v>14</v>
      </c>
      <c r="C15" s="7"/>
      <c r="D15" s="7"/>
      <c r="E15" s="7"/>
      <c r="F15" s="7"/>
      <c r="G15" s="7"/>
      <c r="H15" s="7"/>
    </row>
    <row r="17" customFormat="false" ht="21.75" hidden="false" customHeight="true" outlineLevel="0" collapsed="false">
      <c r="B17" s="3" t="s">
        <v>15</v>
      </c>
      <c r="C17" s="4"/>
      <c r="D17" s="4"/>
      <c r="E17" s="4"/>
      <c r="F17" s="4"/>
      <c r="G17" s="4"/>
      <c r="H17" s="4"/>
    </row>
    <row r="18" customFormat="false" ht="15" hidden="false" customHeight="true" outlineLevel="0" collapsed="false">
      <c r="B18" s="8" t="s">
        <v>16</v>
      </c>
      <c r="C18" s="9" t="s">
        <v>17</v>
      </c>
      <c r="D18" s="9"/>
      <c r="E18" s="9"/>
      <c r="F18" s="9"/>
      <c r="G18" s="9"/>
      <c r="H18" s="9"/>
    </row>
    <row r="19" customFormat="false" ht="15" hidden="false" customHeight="true" outlineLevel="0" collapsed="false">
      <c r="B19" s="10" t="s">
        <v>18</v>
      </c>
      <c r="C19" s="9" t="s">
        <v>18</v>
      </c>
      <c r="D19" s="9"/>
      <c r="E19" s="9"/>
      <c r="F19" s="9"/>
      <c r="G19" s="9"/>
      <c r="H19" s="9"/>
    </row>
    <row r="20" customFormat="false" ht="15" hidden="false" customHeight="true" outlineLevel="0" collapsed="false">
      <c r="B20" s="11" t="s">
        <v>19</v>
      </c>
      <c r="C20" s="9" t="s">
        <v>19</v>
      </c>
      <c r="D20" s="9"/>
      <c r="E20" s="9"/>
      <c r="F20" s="9"/>
      <c r="G20" s="9"/>
      <c r="H20" s="9"/>
    </row>
    <row r="21" customFormat="false" ht="15" hidden="false" customHeight="true" outlineLevel="0" collapsed="false">
      <c r="B21" s="12" t="s">
        <v>20</v>
      </c>
      <c r="C21" s="9" t="s">
        <v>21</v>
      </c>
      <c r="D21" s="9"/>
      <c r="E21" s="9"/>
      <c r="F21" s="9"/>
      <c r="G21" s="9"/>
      <c r="H21" s="9"/>
    </row>
    <row r="22" customFormat="false" ht="15" hidden="false" customHeight="true" outlineLevel="0" collapsed="false">
      <c r="B22" s="13" t="s">
        <v>22</v>
      </c>
      <c r="C22" s="9" t="s">
        <v>23</v>
      </c>
      <c r="D22" s="9"/>
      <c r="E22" s="9"/>
      <c r="F22" s="9"/>
      <c r="G22" s="9"/>
      <c r="H22" s="9"/>
    </row>
    <row r="24" customFormat="false" ht="21.75" hidden="false" customHeight="true" outlineLevel="0" collapsed="false">
      <c r="B24" s="3" t="s">
        <v>24</v>
      </c>
      <c r="C24" s="4"/>
      <c r="D24" s="4"/>
      <c r="E24" s="4"/>
      <c r="F24" s="4"/>
      <c r="G24" s="4"/>
      <c r="H24" s="4"/>
    </row>
    <row r="25" customFormat="false" ht="15" hidden="false" customHeight="false" outlineLevel="0" collapsed="false">
      <c r="B25" s="14" t="s">
        <v>25</v>
      </c>
      <c r="C25" s="14" t="s">
        <v>26</v>
      </c>
      <c r="D25" s="14" t="s">
        <v>27</v>
      </c>
      <c r="E25" s="14" t="s">
        <v>28</v>
      </c>
      <c r="F25" s="14" t="s">
        <v>29</v>
      </c>
      <c r="G25" s="14" t="s">
        <v>30</v>
      </c>
    </row>
    <row r="26" customFormat="false" ht="15" hidden="false" customHeight="false" outlineLevel="0" collapsed="false">
      <c r="B26" s="15" t="s">
        <v>31</v>
      </c>
      <c r="C26" s="15" t="n">
        <v>12</v>
      </c>
      <c r="D26" s="15" t="n">
        <v>15</v>
      </c>
      <c r="E26" s="15" t="n">
        <v>4</v>
      </c>
      <c r="F26" s="15" t="n">
        <v>4</v>
      </c>
      <c r="G26" s="15" t="s">
        <v>30</v>
      </c>
    </row>
    <row r="27" customFormat="false" ht="15" hidden="false" customHeight="true" outlineLevel="0" collapsed="false">
      <c r="B27" s="16" t="s">
        <v>32</v>
      </c>
      <c r="C27" s="16"/>
      <c r="D27" s="16"/>
      <c r="E27" s="16"/>
      <c r="F27" s="16"/>
      <c r="G27" s="16"/>
      <c r="H27" s="16"/>
    </row>
    <row r="29" customFormat="false" ht="21.75" hidden="false" customHeight="true" outlineLevel="0" collapsed="false">
      <c r="B29" s="3" t="s">
        <v>33</v>
      </c>
      <c r="C29" s="4"/>
      <c r="D29" s="4"/>
      <c r="E29" s="4"/>
      <c r="F29" s="4"/>
      <c r="G29" s="4"/>
      <c r="H29" s="4"/>
    </row>
    <row r="30" customFormat="false" ht="31.5" hidden="false" customHeight="true" outlineLevel="0" collapsed="false">
      <c r="B30" s="7" t="s">
        <v>34</v>
      </c>
      <c r="C30" s="7"/>
      <c r="D30" s="7"/>
      <c r="E30" s="7"/>
      <c r="F30" s="7"/>
      <c r="G30" s="7"/>
      <c r="H30" s="7"/>
    </row>
    <row r="31" customFormat="false" ht="31.5" hidden="false" customHeight="true" outlineLevel="0" collapsed="false">
      <c r="B31" s="7" t="s">
        <v>35</v>
      </c>
      <c r="C31" s="7"/>
      <c r="D31" s="7"/>
      <c r="E31" s="7"/>
      <c r="F31" s="7"/>
      <c r="G31" s="7"/>
      <c r="H31" s="7"/>
    </row>
    <row r="32" customFormat="false" ht="31.5" hidden="false" customHeight="true" outlineLevel="0" collapsed="false">
      <c r="B32" s="7" t="s">
        <v>36</v>
      </c>
      <c r="C32" s="7"/>
      <c r="D32" s="7"/>
      <c r="E32" s="7"/>
      <c r="F32" s="7"/>
      <c r="G32" s="7"/>
      <c r="H32" s="7"/>
    </row>
    <row r="33" customFormat="false" ht="31.5" hidden="false" customHeight="true" outlineLevel="0" collapsed="false">
      <c r="B33" s="7" t="s">
        <v>37</v>
      </c>
      <c r="C33" s="7"/>
      <c r="D33" s="7"/>
      <c r="E33" s="7"/>
      <c r="F33" s="7"/>
      <c r="G33" s="7"/>
      <c r="H33" s="7"/>
    </row>
    <row r="34" customFormat="false" ht="31.5" hidden="false" customHeight="true" outlineLevel="0" collapsed="false">
      <c r="B34" s="7" t="s">
        <v>38</v>
      </c>
      <c r="C34" s="7"/>
      <c r="D34" s="7"/>
      <c r="E34" s="7"/>
      <c r="F34" s="7"/>
      <c r="G34" s="7"/>
      <c r="H34" s="7"/>
    </row>
  </sheetData>
  <mergeCells count="21">
    <mergeCell ref="B2:H2"/>
    <mergeCell ref="B3:H3"/>
    <mergeCell ref="C6:H6"/>
    <mergeCell ref="C7:H7"/>
    <mergeCell ref="C8:H8"/>
    <mergeCell ref="B11:H11"/>
    <mergeCell ref="B12:H12"/>
    <mergeCell ref="B13:H13"/>
    <mergeCell ref="B14:H14"/>
    <mergeCell ref="B15:H15"/>
    <mergeCell ref="C18:H18"/>
    <mergeCell ref="C19:H19"/>
    <mergeCell ref="C20:H20"/>
    <mergeCell ref="C21:H21"/>
    <mergeCell ref="C22:H22"/>
    <mergeCell ref="B27:H27"/>
    <mergeCell ref="B30:H30"/>
    <mergeCell ref="B31:H31"/>
    <mergeCell ref="B32:H32"/>
    <mergeCell ref="B33:H33"/>
    <mergeCell ref="B34:H3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40"/>
    <pageSetUpPr fitToPage="true"/>
  </sheetPr>
  <dimension ref="A1:M8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3" min="2" style="0" width="12"/>
  </cols>
  <sheetData>
    <row r="1" customFormat="false" ht="6" hidden="false" customHeight="true" outlineLevel="0" collapsed="false"/>
    <row r="2" customFormat="false" ht="31.5" hidden="false" customHeight="true" outlineLevel="0" collapsed="false">
      <c r="A2" s="1" t="s">
        <v>0</v>
      </c>
      <c r="B2" s="1"/>
      <c r="C2" s="1"/>
      <c r="D2" s="1"/>
      <c r="E2" s="1"/>
      <c r="F2" s="1"/>
      <c r="G2" s="1"/>
      <c r="H2" s="1"/>
      <c r="I2" s="17" t="str">
        <f aca="false">PeriodText</f>
        <v>Period 7 – 23/10/2026</v>
      </c>
      <c r="J2" s="17"/>
      <c r="K2" s="17"/>
      <c r="L2" s="17"/>
      <c r="M2" s="17"/>
    </row>
    <row r="3" customFormat="false" ht="15.75" hidden="false" customHeight="true" outlineLevel="0" collapsed="false">
      <c r="A3" s="16" t="s">
        <v>39</v>
      </c>
      <c r="B3" s="16"/>
      <c r="C3" s="16"/>
      <c r="D3" s="16"/>
      <c r="E3" s="16"/>
      <c r="F3" s="16"/>
      <c r="G3" s="16"/>
      <c r="H3" s="16"/>
      <c r="I3" s="16"/>
      <c r="J3" s="16"/>
      <c r="K3" s="16"/>
      <c r="L3" s="16"/>
      <c r="M3" s="16"/>
    </row>
    <row r="4" customFormat="false" ht="21.75" hidden="false" customHeight="true" outlineLevel="0" collapsed="false">
      <c r="A4" s="3" t="s">
        <v>40</v>
      </c>
      <c r="B4" s="4"/>
      <c r="C4" s="4"/>
      <c r="D4" s="4"/>
      <c r="E4" s="4"/>
      <c r="F4" s="4"/>
      <c r="G4" s="4"/>
      <c r="H4" s="4"/>
      <c r="I4" s="4"/>
      <c r="J4" s="18" t="s">
        <v>41</v>
      </c>
      <c r="K4" s="19" t="str">
        <f aca="false">"&gt;"&amp;TEXT(PBI_G,"0%")</f>
        <v>&gt;90%</v>
      </c>
      <c r="L4" s="20" t="str">
        <f aca="false">TEXT(PBI_R,"0%")&amp;" – "&amp;TEXT(PBI_G,"0%")</f>
        <v>75% – 90%</v>
      </c>
      <c r="M4" s="21" t="str">
        <f aca="false">"&lt;"&amp;TEXT(PBI_R,"0%")</f>
        <v>&lt;75%</v>
      </c>
    </row>
    <row r="5" customFormat="false" ht="33.75" hidden="false" customHeight="true" outlineLevel="0" collapsed="false">
      <c r="B5" s="14" t="s">
        <v>42</v>
      </c>
      <c r="C5" s="14"/>
      <c r="D5" s="14" t="s">
        <v>43</v>
      </c>
      <c r="E5" s="14"/>
      <c r="F5" s="14" t="s">
        <v>44</v>
      </c>
      <c r="G5" s="14"/>
      <c r="H5" s="14" t="s">
        <v>45</v>
      </c>
      <c r="I5" s="14"/>
      <c r="J5" s="14" t="s">
        <v>46</v>
      </c>
      <c r="K5" s="14"/>
      <c r="L5" s="14" t="s">
        <v>47</v>
      </c>
      <c r="M5" s="14"/>
    </row>
    <row r="6" customFormat="false" ht="21.75" hidden="false" customHeight="true" outlineLevel="0" collapsed="false">
      <c r="A6" s="22" t="str">
        <f aca="false">PrevLbl&amp;" (previous)"</f>
        <v>P6 (previous)</v>
      </c>
      <c r="B6" s="23" t="str">
        <f aca="false">IF(N(C77)=0,"N/A",N(B77)/C77)</f>
        <v>N/A</v>
      </c>
      <c r="C6" s="23"/>
      <c r="D6" s="23" t="str">
        <f aca="false">IF(N(E77)=0,"N/A",N(D77)/E77)</f>
        <v>N/A</v>
      </c>
      <c r="E6" s="23"/>
      <c r="F6" s="23" t="str">
        <f aca="false">IF(N(G77)=0,"N/A",N(F77)/G77)</f>
        <v>N/A</v>
      </c>
      <c r="G6" s="23"/>
      <c r="H6" s="23" t="str">
        <f aca="false">IF(N(I77)=0,"N/A",N(H77)/I77)</f>
        <v>N/A</v>
      </c>
      <c r="I6" s="23"/>
      <c r="J6" s="23" t="str">
        <f aca="false">IF(N(K77)=0,"N/A",N(J77)/K77)</f>
        <v>N/A</v>
      </c>
      <c r="K6" s="23"/>
      <c r="L6" s="23" t="str">
        <f aca="false">IF(N(M77)=0,"N/A",N(L77)/M77)</f>
        <v>N/A</v>
      </c>
      <c r="M6" s="23"/>
    </row>
    <row r="7" customFormat="false" ht="15" hidden="false" customHeight="true" outlineLevel="0" collapsed="false">
      <c r="B7" s="24" t="str">
        <f aca="false">IF(N(C77)=0,"",N(B77)&amp;"/"&amp;C77)</f>
        <v/>
      </c>
      <c r="C7" s="24"/>
      <c r="D7" s="24" t="str">
        <f aca="false">IF(N(E77)=0,"",N(D77)&amp;"/"&amp;E77)</f>
        <v/>
      </c>
      <c r="E7" s="24"/>
      <c r="F7" s="24" t="str">
        <f aca="false">IF(N(G77)=0,"",N(F77)&amp;"/"&amp;G77)</f>
        <v/>
      </c>
      <c r="G7" s="24"/>
      <c r="H7" s="24" t="str">
        <f aca="false">IF(N(I77)=0,"",N(H77)&amp;"/"&amp;I77)</f>
        <v/>
      </c>
      <c r="I7" s="24"/>
      <c r="J7" s="24" t="str">
        <f aca="false">IF(N(K77)=0,"",N(J77)&amp;"/"&amp;K77)</f>
        <v/>
      </c>
      <c r="K7" s="24"/>
      <c r="L7" s="24" t="str">
        <f aca="false">IF(N(M77)=0,"",N(L77)&amp;"/"&amp;M77)</f>
        <v/>
      </c>
      <c r="M7" s="24"/>
    </row>
    <row r="8" customFormat="false" ht="15" hidden="false" customHeight="true" outlineLevel="0" collapsed="false">
      <c r="B8" s="25" t="str">
        <f aca="false">IF(NOT(ISNUMBER(B6)),"N/A",IF(B6&gt;PBI_G,"Green",IF(B6&lt;PBI_R,"Red","Amber")))</f>
        <v>N/A</v>
      </c>
      <c r="C8" s="25"/>
      <c r="D8" s="25" t="str">
        <f aca="false">IF(NOT(ISNUMBER(D6)),"N/A",IF(D6&gt;PBI_G,"Green",IF(D6&lt;PBI_R,"Red","Amber")))</f>
        <v>N/A</v>
      </c>
      <c r="E8" s="25"/>
      <c r="F8" s="25" t="str">
        <f aca="false">IF(NOT(ISNUMBER(F6)),"N/A",IF(F6&gt;PBI_G,"Green",IF(F6&lt;PBI_R,"Red","Amber")))</f>
        <v>N/A</v>
      </c>
      <c r="G8" s="25"/>
      <c r="H8" s="25" t="str">
        <f aca="false">IF(NOT(ISNUMBER(H6)),"N/A",IF(H6&gt;PBI_G,"Green",IF(H6&lt;PBI_R,"Red","Amber")))</f>
        <v>N/A</v>
      </c>
      <c r="I8" s="25"/>
      <c r="J8" s="25" t="str">
        <f aca="false">IF(NOT(ISNUMBER(J6)),"N/A",IF(J6&gt;PBI_G,"Green",IF(J6&lt;PBI_R,"Red","Amber")))</f>
        <v>N/A</v>
      </c>
      <c r="K8" s="25"/>
      <c r="L8" s="25" t="str">
        <f aca="false">IF(NOT(ISNUMBER(L6)),"N/A",IF(L6&gt;PBI_G,"Green",IF(L6&lt;PBI_R,"Red","Amber")))</f>
        <v>N/A</v>
      </c>
      <c r="M8" s="25"/>
    </row>
    <row r="9" customFormat="false" ht="6" hidden="false" customHeight="true" outlineLevel="0" collapsed="false"/>
    <row r="10" customFormat="false" ht="36" hidden="false" customHeight="true" outlineLevel="0" collapsed="false">
      <c r="A10" s="26" t="str">
        <f aca="false">CurLbl&amp;" (current)"</f>
        <v>P7 (current)</v>
      </c>
      <c r="B10" s="27" t="str">
        <f aca="false">IF(N(C68)=0,"N/A",N(B68)/C68)</f>
        <v>N/A</v>
      </c>
      <c r="C10" s="27"/>
      <c r="D10" s="27" t="str">
        <f aca="false">IF(N(E68)=0,"N/A",N(D68)/E68)</f>
        <v>N/A</v>
      </c>
      <c r="E10" s="27"/>
      <c r="F10" s="27" t="str">
        <f aca="false">IF(N(G68)=0,"N/A",N(F68)/G68)</f>
        <v>N/A</v>
      </c>
      <c r="G10" s="27"/>
      <c r="H10" s="27" t="str">
        <f aca="false">IF(N(I68)=0,"N/A",N(H68)/I68)</f>
        <v>N/A</v>
      </c>
      <c r="I10" s="27"/>
      <c r="J10" s="27" t="str">
        <f aca="false">IF(N(K68)=0,"N/A",N(J68)/K68)</f>
        <v>N/A</v>
      </c>
      <c r="K10" s="27"/>
      <c r="L10" s="27" t="str">
        <f aca="false">IF(N(M68)=0,"N/A",N(L68)/M68)</f>
        <v>N/A</v>
      </c>
      <c r="M10" s="27"/>
    </row>
    <row r="11" customFormat="false" ht="15.75" hidden="false" customHeight="true" outlineLevel="0" collapsed="false">
      <c r="B11" s="24" t="str">
        <f aca="false">IF(N(C68)=0,"",N(B68)&amp;"/"&amp;C68)</f>
        <v/>
      </c>
      <c r="C11" s="24"/>
      <c r="D11" s="24" t="str">
        <f aca="false">IF(N(E68)=0,"",N(D68)&amp;"/"&amp;E68)</f>
        <v/>
      </c>
      <c r="E11" s="24"/>
      <c r="F11" s="24" t="str">
        <f aca="false">IF(N(G68)=0,"",N(F68)&amp;"/"&amp;G68)</f>
        <v/>
      </c>
      <c r="G11" s="24"/>
      <c r="H11" s="24" t="str">
        <f aca="false">IF(N(I68)=0,"",N(H68)&amp;"/"&amp;I68)</f>
        <v/>
      </c>
      <c r="I11" s="24"/>
      <c r="J11" s="24" t="str">
        <f aca="false">IF(N(K68)=0,"",N(J68)&amp;"/"&amp;K68)</f>
        <v/>
      </c>
      <c r="K11" s="24"/>
      <c r="L11" s="24" t="str">
        <f aca="false">IF(N(M68)=0,"",N(L68)&amp;"/"&amp;M68)</f>
        <v/>
      </c>
      <c r="M11" s="24"/>
    </row>
    <row r="12" customFormat="false" ht="15.75" hidden="false" customHeight="true" outlineLevel="0" collapsed="false">
      <c r="B12" s="25" t="str">
        <f aca="false">IF(NOT(ISNUMBER(B10)),"N/A",IF(B10&gt;PBI_G,"Green",IF(B10&lt;PBI_R,"Red","Amber")))</f>
        <v>N/A</v>
      </c>
      <c r="C12" s="25"/>
      <c r="D12" s="25" t="str">
        <f aca="false">IF(NOT(ISNUMBER(D10)),"N/A",IF(D10&gt;PBI_G,"Green",IF(D10&lt;PBI_R,"Red","Amber")))</f>
        <v>N/A</v>
      </c>
      <c r="E12" s="25"/>
      <c r="F12" s="25" t="str">
        <f aca="false">IF(NOT(ISNUMBER(F10)),"N/A",IF(F10&gt;PBI_G,"Green",IF(F10&lt;PBI_R,"Red","Amber")))</f>
        <v>N/A</v>
      </c>
      <c r="G12" s="25"/>
      <c r="H12" s="25" t="str">
        <f aca="false">IF(NOT(ISNUMBER(H10)),"N/A",IF(H10&gt;PBI_G,"Green",IF(H10&lt;PBI_R,"Red","Amber")))</f>
        <v>N/A</v>
      </c>
      <c r="I12" s="25"/>
      <c r="J12" s="25" t="str">
        <f aca="false">IF(NOT(ISNUMBER(J10)),"N/A",IF(J10&gt;PBI_G,"Green",IF(J10&lt;PBI_R,"Red","Amber")))</f>
        <v>N/A</v>
      </c>
      <c r="K12" s="25"/>
      <c r="L12" s="25" t="str">
        <f aca="false">IF(NOT(ISNUMBER(L10)),"N/A",IF(L10&gt;PBI_G,"Green",IF(L10&lt;PBI_R,"Red","Amber")))</f>
        <v>N/A</v>
      </c>
      <c r="M12" s="25"/>
    </row>
    <row r="13" customFormat="false" ht="15.75" hidden="false" customHeight="true" outlineLevel="0" collapsed="false">
      <c r="A13" s="28" t="s">
        <v>48</v>
      </c>
      <c r="B13" s="29" t="str">
        <f aca="false">IF(OR(NOT(ISNUMBER(B6)),NOT(ISNUMBER(B10))),"–",IF(ROUND(B10-B6,4)&gt;0,"▲ ",IF(ROUND(B10-B6,4)&lt;0,"▼ ","► "))&amp;TEXT(ABS(B10-B6)*100,"0.0")&amp;" pts vs "&amp;PrevLbl)</f>
        <v>–</v>
      </c>
      <c r="C13" s="29"/>
      <c r="D13" s="29" t="str">
        <f aca="false">IF(OR(NOT(ISNUMBER(D6)),NOT(ISNUMBER(D10))),"–",IF(ROUND(D10-D6,4)&gt;0,"▲ ",IF(ROUND(D10-D6,4)&lt;0,"▼ ","► "))&amp;TEXT(ABS(D10-D6)*100,"0.0")&amp;" pts vs "&amp;PrevLbl)</f>
        <v>–</v>
      </c>
      <c r="E13" s="29"/>
      <c r="F13" s="29" t="str">
        <f aca="false">IF(OR(NOT(ISNUMBER(F6)),NOT(ISNUMBER(F10))),"–",IF(ROUND(F10-F6,4)&gt;0,"▲ ",IF(ROUND(F10-F6,4)&lt;0,"▼ ","► "))&amp;TEXT(ABS(F10-F6)*100,"0.0")&amp;" pts vs "&amp;PrevLbl)</f>
        <v>–</v>
      </c>
      <c r="G13" s="29"/>
      <c r="H13" s="29" t="str">
        <f aca="false">IF(OR(NOT(ISNUMBER(H6)),NOT(ISNUMBER(H10))),"–",IF(ROUND(H10-H6,4)&gt;0,"▲ ",IF(ROUND(H10-H6,4)&lt;0,"▼ ","► "))&amp;TEXT(ABS(H10-H6)*100,"0.0")&amp;" pts vs "&amp;PrevLbl)</f>
        <v>–</v>
      </c>
      <c r="I13" s="29"/>
      <c r="J13" s="29" t="str">
        <f aca="false">IF(OR(NOT(ISNUMBER(J6)),NOT(ISNUMBER(J10))),"–",IF(ROUND(J10-J6,4)&gt;0,"▲ ",IF(ROUND(J10-J6,4)&lt;0,"▼ ","► "))&amp;TEXT(ABS(J10-J6)*100,"0.0")&amp;" pts vs "&amp;PrevLbl)</f>
        <v>–</v>
      </c>
      <c r="K13" s="29"/>
      <c r="L13" s="29" t="str">
        <f aca="false">IF(OR(NOT(ISNUMBER(L6)),NOT(ISNUMBER(L10))),"–",IF(ROUND(L10-L6,4)&gt;0,"▲ ",IF(ROUND(L10-L6,4)&lt;0,"▼ ","► "))&amp;TEXT(ABS(L10-L6)*100,"0.0")&amp;" pts vs "&amp;PrevLbl)</f>
        <v>–</v>
      </c>
      <c r="M13" s="29"/>
    </row>
    <row r="14" customFormat="false" ht="9.75" hidden="false" customHeight="true" outlineLevel="0" collapsed="false"/>
    <row r="15" customFormat="false" ht="21.75" hidden="false" customHeight="true" outlineLevel="0" collapsed="false">
      <c r="A15" s="3" t="s">
        <v>49</v>
      </c>
      <c r="B15" s="4"/>
      <c r="C15" s="4"/>
      <c r="D15" s="4"/>
      <c r="E15" s="4"/>
      <c r="F15" s="4"/>
      <c r="G15" s="4"/>
      <c r="H15" s="4"/>
      <c r="I15" s="4"/>
    </row>
    <row r="16" customFormat="false" ht="33.75" hidden="false" customHeight="true" outlineLevel="0" collapsed="false">
      <c r="B16" s="14" t="s">
        <v>50</v>
      </c>
      <c r="C16" s="14"/>
      <c r="D16" s="14" t="s">
        <v>51</v>
      </c>
      <c r="E16" s="14"/>
      <c r="F16" s="14" t="s">
        <v>52</v>
      </c>
      <c r="G16" s="14"/>
      <c r="H16" s="14" t="s">
        <v>53</v>
      </c>
      <c r="I16" s="14"/>
      <c r="J16" s="30" t="s">
        <v>54</v>
      </c>
      <c r="K16" s="30"/>
      <c r="L16" s="30"/>
      <c r="M16" s="30"/>
    </row>
    <row r="17" customFormat="false" ht="30" hidden="false" customHeight="true" outlineLevel="0" collapsed="false">
      <c r="B17" s="31" t="str">
        <f aca="false">"Green ≤"&amp;NCR_G&amp;" · Amber "&amp;(NCR_G+1)&amp;"–"&amp;(NCR_R-1)&amp;" · Red ≥"&amp;NCR_R</f>
        <v>Green ≤2 · Amber 3–5 · Red ≥6</v>
      </c>
      <c r="C17" s="31"/>
      <c r="D17" s="31" t="str">
        <f aca="false">"Green &gt;"&amp;TEXT(EQ_G,"0%")&amp;" · Amber "&amp;TEXT(EQ_R,"0%")&amp;"–"&amp;TEXT(EQ_G,"0%")&amp;" · Red &lt;"&amp;TEXT(EQ_R,"0%")</f>
        <v>Green &gt;80% · Amber 70%–80% · Red &lt;70%</v>
      </c>
      <c r="E17" s="31"/>
      <c r="F17" s="31" t="str">
        <f aca="false">"Green &gt;"&amp;TEXT(INSP_G,"0%")&amp;" · Amber "&amp;TEXT(INSP_R,"0%")&amp;"–"&amp;TEXT(INSP_G,"0%")&amp;" · Red &lt;"&amp;TEXT(INSP_R,"0%")</f>
        <v>Green &gt;95% · Amber 90%–95% · Red &lt;90%</v>
      </c>
      <c r="G17" s="31"/>
      <c r="H17" s="31" t="str">
        <f aca="false">"Green &gt;"&amp;TEXT(LTR_G,"0%")&amp;" · Amber "&amp;TEXT(LTR_R,"0%")&amp;"–"&amp;TEXT(LTR_G,"0%")&amp;" · Red &lt;"&amp;TEXT(LTR_R,"0%")</f>
        <v>Green &gt;95% · Amber 70%–95% · Red &lt;70%</v>
      </c>
      <c r="I17" s="31"/>
      <c r="J17" s="32"/>
      <c r="K17" s="32"/>
      <c r="L17" s="32"/>
      <c r="M17" s="32"/>
    </row>
    <row r="18" customFormat="false" ht="36" hidden="false" customHeight="true" outlineLevel="0" collapsed="false">
      <c r="A18" s="26" t="str">
        <f aca="false">CurLbl&amp;" (current)"</f>
        <v>P7 (current)</v>
      </c>
      <c r="B18" s="33" t="str">
        <f aca="false">IF(ISNUMBER(B86),B86,"N/A")</f>
        <v>N/A</v>
      </c>
      <c r="C18" s="33"/>
      <c r="D18" s="27" t="str">
        <f aca="false">IF(N(E86)=0,"N/A",N(D86)/E86)</f>
        <v>N/A</v>
      </c>
      <c r="E18" s="27"/>
      <c r="F18" s="27" t="str">
        <f aca="false">IF(N(G86)=0,"N/A",N(F86)/G86)</f>
        <v>N/A</v>
      </c>
      <c r="G18" s="27"/>
      <c r="H18" s="27" t="str">
        <f aca="false">IF(N(I86)=0,"N/A",N(H86)/I86)</f>
        <v>N/A</v>
      </c>
      <c r="I18" s="27"/>
      <c r="J18" s="32"/>
      <c r="K18" s="32"/>
      <c r="L18" s="32"/>
      <c r="M18" s="32"/>
    </row>
    <row r="19" customFormat="false" ht="15.75" hidden="false" customHeight="true" outlineLevel="0" collapsed="false">
      <c r="B19" s="24" t="str">
        <f aca="false">IF(ISNUMBER(B86),"live NCRs","")</f>
        <v/>
      </c>
      <c r="C19" s="24"/>
      <c r="D19" s="24" t="str">
        <f aca="false">IF(N(E86)=0,"",N(D86)&amp;"/"&amp;E86)</f>
        <v/>
      </c>
      <c r="E19" s="24"/>
      <c r="F19" s="24" t="str">
        <f aca="false">IF(N(G86)=0,"",N(F86)&amp;"/"&amp;G86)</f>
        <v/>
      </c>
      <c r="G19" s="24"/>
      <c r="H19" s="24" t="str">
        <f aca="false">IF(N(I86)=0,"",N(H86)&amp;"/"&amp;I86)</f>
        <v/>
      </c>
      <c r="I19" s="24"/>
      <c r="J19" s="32"/>
      <c r="K19" s="32"/>
      <c r="L19" s="32"/>
      <c r="M19" s="32"/>
    </row>
    <row r="20" customFormat="false" ht="15.75" hidden="false" customHeight="true" outlineLevel="0" collapsed="false">
      <c r="B20" s="25" t="str">
        <f aca="false">IF(NOT(ISNUMBER(B18)),"N/A",IF(B18&lt;=NCR_G,"Green",IF(B18&gt;=NCR_R,"Red","Amber")))</f>
        <v>N/A</v>
      </c>
      <c r="C20" s="25"/>
      <c r="D20" s="25" t="str">
        <f aca="false">IF(NOT(ISNUMBER(D18)),"N/A",IF(D18&gt;EQ_G,"Green",IF(D18&lt;EQ_R,"Red","Amber")))</f>
        <v>N/A</v>
      </c>
      <c r="E20" s="25"/>
      <c r="F20" s="25" t="str">
        <f aca="false">IF(NOT(ISNUMBER(F18)),"N/A",IF(F18&gt;INSP_G,"Green",IF(F18&lt;INSP_R,"Red","Amber")))</f>
        <v>N/A</v>
      </c>
      <c r="G20" s="25"/>
      <c r="H20" s="25" t="str">
        <f aca="false">IF(NOT(ISNUMBER(H18)),"N/A",IF(H18&gt;LTR_G,"Green",IF(H18&lt;LTR_R,"Red","Amber")))</f>
        <v>N/A</v>
      </c>
      <c r="I20" s="25"/>
      <c r="J20" s="32"/>
      <c r="K20" s="32"/>
      <c r="L20" s="32"/>
      <c r="M20" s="32"/>
    </row>
    <row r="21" customFormat="false" ht="9.75" hidden="false" customHeight="true" outlineLevel="0" collapsed="false"/>
    <row r="22" customFormat="false" ht="21.75" hidden="false" customHeight="true" outlineLevel="0" collapsed="false">
      <c r="A22" s="3" t="str">
        <f aca="false">"Performance by operating unit – current period ("&amp;CurLbl&amp;")"</f>
        <v>Performance by operating unit – current period (P7)</v>
      </c>
      <c r="B22" s="4"/>
      <c r="C22" s="4"/>
      <c r="D22" s="4"/>
      <c r="E22" s="4"/>
      <c r="F22" s="4"/>
      <c r="G22" s="4"/>
      <c r="H22" s="4"/>
      <c r="I22" s="4"/>
      <c r="J22" s="4"/>
      <c r="K22" s="4"/>
      <c r="L22" s="4"/>
      <c r="M22" s="4"/>
    </row>
    <row r="23" customFormat="false" ht="15" hidden="false" customHeight="false" outlineLevel="0" collapsed="false">
      <c r="A23" s="34" t="s">
        <v>55</v>
      </c>
      <c r="B23" s="35"/>
      <c r="C23" s="35"/>
      <c r="D23" s="35"/>
      <c r="E23" s="35"/>
      <c r="F23" s="35"/>
      <c r="G23" s="35"/>
      <c r="H23" s="35"/>
      <c r="I23" s="35"/>
      <c r="J23" s="35"/>
      <c r="K23" s="35"/>
      <c r="L23" s="35"/>
      <c r="M23" s="35"/>
    </row>
    <row r="24" customFormat="false" ht="30" hidden="false" customHeight="true" outlineLevel="0" collapsed="false">
      <c r="A24" s="36" t="s">
        <v>56</v>
      </c>
      <c r="B24" s="14" t="s">
        <v>42</v>
      </c>
      <c r="C24" s="14"/>
      <c r="D24" s="14" t="s">
        <v>43</v>
      </c>
      <c r="E24" s="14"/>
      <c r="F24" s="14" t="s">
        <v>44</v>
      </c>
      <c r="G24" s="14"/>
      <c r="H24" s="14" t="s">
        <v>45</v>
      </c>
      <c r="I24" s="14"/>
      <c r="J24" s="14" t="s">
        <v>46</v>
      </c>
      <c r="K24" s="14"/>
      <c r="L24" s="14" t="s">
        <v>47</v>
      </c>
      <c r="M24" s="14"/>
    </row>
    <row r="25" customFormat="false" ht="15" hidden="false" customHeight="false" outlineLevel="0" collapsed="false">
      <c r="A25" s="37" t="str">
        <f aca="false">HYPERLINK("#'Alpha'!A1","Alpha")</f>
        <v>Alpha</v>
      </c>
      <c r="B25" s="38" t="str">
        <f aca="false">IF($A25="","",IF(N(C64)=0,"N/A",N(B64)/C64))</f>
        <v>N/A</v>
      </c>
      <c r="C25" s="39" t="str">
        <f aca="false">IF(OR($A25="",N(C64)=0),"",N(B64)&amp;"/"&amp;C64)</f>
        <v/>
      </c>
      <c r="D25" s="38" t="str">
        <f aca="false">IF($A25="","",IF(N(E64)=0,"N/A",N(D64)/E64))</f>
        <v>N/A</v>
      </c>
      <c r="E25" s="39" t="str">
        <f aca="false">IF(OR($A25="",N(E64)=0),"",N(D64)&amp;"/"&amp;E64)</f>
        <v/>
      </c>
      <c r="F25" s="38" t="str">
        <f aca="false">IF($A25="","",IF(N(G64)=0,"N/A",N(F64)/G64))</f>
        <v>N/A</v>
      </c>
      <c r="G25" s="39" t="str">
        <f aca="false">IF(OR($A25="",N(G64)=0),"",N(F64)&amp;"/"&amp;G64)</f>
        <v/>
      </c>
      <c r="H25" s="38" t="str">
        <f aca="false">IF($A25="","",IF(N(I64)=0,"N/A",N(H64)/I64))</f>
        <v>N/A</v>
      </c>
      <c r="I25" s="39" t="str">
        <f aca="false">IF(OR($A25="",N(I64)=0),"",N(H64)&amp;"/"&amp;I64)</f>
        <v/>
      </c>
      <c r="J25" s="38" t="str">
        <f aca="false">IF($A25="","",IF(N(K64)=0,"N/A",N(J64)/K64))</f>
        <v>N/A</v>
      </c>
      <c r="K25" s="39" t="str">
        <f aca="false">IF(OR($A25="",N(K64)=0),"",N(J64)&amp;"/"&amp;K64)</f>
        <v/>
      </c>
      <c r="L25" s="38" t="str">
        <f aca="false">IF($A25="","",IF(N(M64)=0,"N/A",N(L64)/M64))</f>
        <v>N/A</v>
      </c>
      <c r="M25" s="39" t="str">
        <f aca="false">IF(OR($A25="",N(M64)=0),"",N(L64)&amp;"/"&amp;M64)</f>
        <v/>
      </c>
    </row>
    <row r="26" customFormat="false" ht="15" hidden="false" customHeight="false" outlineLevel="0" collapsed="false">
      <c r="A26" s="37" t="str">
        <f aca="false">HYPERLINK("#'Calder'!A1","Calder")</f>
        <v>Calder</v>
      </c>
      <c r="B26" s="38" t="str">
        <f aca="false">IF($A26="","",IF(N(C65)=0,"N/A",N(B65)/C65))</f>
        <v>N/A</v>
      </c>
      <c r="C26" s="39" t="str">
        <f aca="false">IF(OR($A26="",N(C65)=0),"",N(B65)&amp;"/"&amp;C65)</f>
        <v/>
      </c>
      <c r="D26" s="38" t="str">
        <f aca="false">IF($A26="","",IF(N(E65)=0,"N/A",N(D65)/E65))</f>
        <v>N/A</v>
      </c>
      <c r="E26" s="39" t="str">
        <f aca="false">IF(OR($A26="",N(E65)=0),"",N(D65)&amp;"/"&amp;E65)</f>
        <v/>
      </c>
      <c r="F26" s="38" t="str">
        <f aca="false">IF($A26="","",IF(N(G65)=0,"N/A",N(F65)/G65))</f>
        <v>N/A</v>
      </c>
      <c r="G26" s="39" t="str">
        <f aca="false">IF(OR($A26="",N(G65)=0),"",N(F65)&amp;"/"&amp;G65)</f>
        <v/>
      </c>
      <c r="H26" s="38" t="str">
        <f aca="false">IF($A26="","",IF(N(I65)=0,"N/A",N(H65)/I65))</f>
        <v>N/A</v>
      </c>
      <c r="I26" s="39" t="str">
        <f aca="false">IF(OR($A26="",N(I65)=0),"",N(H65)&amp;"/"&amp;I65)</f>
        <v/>
      </c>
      <c r="J26" s="38" t="str">
        <f aca="false">IF($A26="","",IF(N(K65)=0,"N/A",N(J65)/K65))</f>
        <v>N/A</v>
      </c>
      <c r="K26" s="39" t="str">
        <f aca="false">IF(OR($A26="",N(K65)=0),"",N(J65)&amp;"/"&amp;K65)</f>
        <v/>
      </c>
      <c r="L26" s="38" t="str">
        <f aca="false">IF($A26="","",IF(N(M65)=0,"N/A",N(L65)/M65))</f>
        <v>N/A</v>
      </c>
      <c r="M26" s="39" t="str">
        <f aca="false">IF(OR($A26="",N(M65)=0),"",N(L65)&amp;"/"&amp;M65)</f>
        <v/>
      </c>
    </row>
    <row r="27" customFormat="false" ht="15" hidden="false" customHeight="false" outlineLevel="0" collapsed="false">
      <c r="A27" s="37" t="str">
        <f aca="false">HYPERLINK("#'Repro Decom'!A1","Repro Decom")</f>
        <v>Repro Decom</v>
      </c>
      <c r="B27" s="38" t="str">
        <f aca="false">IF($A27="","",IF(N(C66)=0,"N/A",N(B66)/C66))</f>
        <v>N/A</v>
      </c>
      <c r="C27" s="39" t="str">
        <f aca="false">IF(OR($A27="",N(C66)=0),"",N(B66)&amp;"/"&amp;C66)</f>
        <v/>
      </c>
      <c r="D27" s="38" t="str">
        <f aca="false">IF($A27="","",IF(N(E66)=0,"N/A",N(D66)/E66))</f>
        <v>N/A</v>
      </c>
      <c r="E27" s="39" t="str">
        <f aca="false">IF(OR($A27="",N(E66)=0),"",N(D66)&amp;"/"&amp;E66)</f>
        <v/>
      </c>
      <c r="F27" s="38" t="str">
        <f aca="false">IF($A27="","",IF(N(G66)=0,"N/A",N(F66)/G66))</f>
        <v>N/A</v>
      </c>
      <c r="G27" s="39" t="str">
        <f aca="false">IF(OR($A27="",N(G66)=0),"",N(F66)&amp;"/"&amp;G66)</f>
        <v/>
      </c>
      <c r="H27" s="38" t="str">
        <f aca="false">IF($A27="","",IF(N(I66)=0,"N/A",N(H66)/I66))</f>
        <v>N/A</v>
      </c>
      <c r="I27" s="39" t="str">
        <f aca="false">IF(OR($A27="",N(I66)=0),"",N(H66)&amp;"/"&amp;I66)</f>
        <v/>
      </c>
      <c r="J27" s="38" t="str">
        <f aca="false">IF($A27="","",IF(N(K66)=0,"N/A",N(J66)/K66))</f>
        <v>N/A</v>
      </c>
      <c r="K27" s="39" t="str">
        <f aca="false">IF(OR($A27="",N(K66)=0),"",N(J66)&amp;"/"&amp;K66)</f>
        <v/>
      </c>
      <c r="L27" s="38" t="str">
        <f aca="false">IF($A27="","",IF(N(M66)=0,"N/A",N(L66)/M66))</f>
        <v>N/A</v>
      </c>
      <c r="M27" s="39" t="str">
        <f aca="false">IF(OR($A27="",N(M66)=0),"",N(L66)&amp;"/"&amp;M66)</f>
        <v/>
      </c>
    </row>
    <row r="28" customFormat="false" ht="15" hidden="false" customHeight="false" outlineLevel="0" collapsed="false">
      <c r="A28" s="37" t="str">
        <f aca="false">HYPERLINK("#'Windscale'!A1","Windscale")</f>
        <v>Windscale</v>
      </c>
      <c r="B28" s="38" t="str">
        <f aca="false">IF($A28="","",IF(N(C67)=0,"N/A",N(B67)/C67))</f>
        <v>N/A</v>
      </c>
      <c r="C28" s="39" t="str">
        <f aca="false">IF(OR($A28="",N(C67)=0),"",N(B67)&amp;"/"&amp;C67)</f>
        <v/>
      </c>
      <c r="D28" s="38" t="str">
        <f aca="false">IF($A28="","",IF(N(E67)=0,"N/A",N(D67)/E67))</f>
        <v>N/A</v>
      </c>
      <c r="E28" s="39" t="str">
        <f aca="false">IF(OR($A28="",N(E67)=0),"",N(D67)&amp;"/"&amp;E67)</f>
        <v/>
      </c>
      <c r="F28" s="38" t="str">
        <f aca="false">IF($A28="","",IF(N(G67)=0,"N/A",N(F67)/G67))</f>
        <v>N/A</v>
      </c>
      <c r="G28" s="39" t="str">
        <f aca="false">IF(OR($A28="",N(G67)=0),"",N(F67)&amp;"/"&amp;G67)</f>
        <v/>
      </c>
      <c r="H28" s="38" t="str">
        <f aca="false">IF($A28="","",IF(N(I67)=0,"N/A",N(H67)/I67))</f>
        <v>N/A</v>
      </c>
      <c r="I28" s="39" t="str">
        <f aca="false">IF(OR($A28="",N(I67)=0),"",N(H67)&amp;"/"&amp;I67)</f>
        <v/>
      </c>
      <c r="J28" s="38" t="str">
        <f aca="false">IF($A28="","",IF(N(K67)=0,"N/A",N(J67)/K67))</f>
        <v>N/A</v>
      </c>
      <c r="K28" s="39" t="str">
        <f aca="false">IF(OR($A28="",N(K67)=0),"",N(J67)&amp;"/"&amp;K67)</f>
        <v/>
      </c>
      <c r="L28" s="38" t="str">
        <f aca="false">IF($A28="","",IF(N(M67)=0,"N/A",N(L67)/M67))</f>
        <v>N/A</v>
      </c>
      <c r="M28" s="39" t="str">
        <f aca="false">IF(OR($A28="",N(M67)=0),"",N(L67)&amp;"/"&amp;M67)</f>
        <v/>
      </c>
    </row>
    <row r="29" customFormat="false" ht="15" hidden="false" customHeight="false" outlineLevel="0" collapsed="false">
      <c r="A29" s="40" t="s">
        <v>57</v>
      </c>
      <c r="B29" s="38" t="str">
        <f aca="false">IF($A29="","",IF(N(C68)=0,"N/A",N(B68)/C68))</f>
        <v>N/A</v>
      </c>
      <c r="C29" s="39" t="str">
        <f aca="false">IF(OR($A29="",N(C68)=0),"",N(B68)&amp;"/"&amp;C68)</f>
        <v/>
      </c>
      <c r="D29" s="38" t="str">
        <f aca="false">IF($A29="","",IF(N(E68)=0,"N/A",N(D68)/E68))</f>
        <v>N/A</v>
      </c>
      <c r="E29" s="39" t="str">
        <f aca="false">IF(OR($A29="",N(E68)=0),"",N(D68)&amp;"/"&amp;E68)</f>
        <v/>
      </c>
      <c r="F29" s="38" t="str">
        <f aca="false">IF($A29="","",IF(N(G68)=0,"N/A",N(F68)/G68))</f>
        <v>N/A</v>
      </c>
      <c r="G29" s="39" t="str">
        <f aca="false">IF(OR($A29="",N(G68)=0),"",N(F68)&amp;"/"&amp;G68)</f>
        <v/>
      </c>
      <c r="H29" s="38" t="str">
        <f aca="false">IF($A29="","",IF(N(I68)=0,"N/A",N(H68)/I68))</f>
        <v>N/A</v>
      </c>
      <c r="I29" s="39" t="str">
        <f aca="false">IF(OR($A29="",N(I68)=0),"",N(H68)&amp;"/"&amp;I68)</f>
        <v/>
      </c>
      <c r="J29" s="38" t="str">
        <f aca="false">IF($A29="","",IF(N(K68)=0,"N/A",N(J68)/K68))</f>
        <v>N/A</v>
      </c>
      <c r="K29" s="39" t="str">
        <f aca="false">IF(OR($A29="",N(K68)=0),"",N(J68)&amp;"/"&amp;K68)</f>
        <v/>
      </c>
      <c r="L29" s="38" t="str">
        <f aca="false">IF($A29="","",IF(N(M68)=0,"N/A",N(L68)/M68))</f>
        <v>N/A</v>
      </c>
      <c r="M29" s="39" t="str">
        <f aca="false">IF(OR($A29="",N(M68)=0),"",N(L68)&amp;"/"&amp;M68)</f>
        <v/>
      </c>
    </row>
    <row r="30" customFormat="false" ht="15" hidden="false" customHeight="false" outlineLevel="0" collapsed="false">
      <c r="A30" s="34" t="s">
        <v>49</v>
      </c>
      <c r="B30" s="35"/>
      <c r="C30" s="35"/>
      <c r="D30" s="35"/>
      <c r="E30" s="35"/>
      <c r="F30" s="35"/>
      <c r="G30" s="35"/>
      <c r="H30" s="35"/>
      <c r="I30" s="35"/>
      <c r="J30" s="35"/>
      <c r="K30" s="35"/>
      <c r="L30" s="35"/>
      <c r="M30" s="35"/>
    </row>
    <row r="31" customFormat="false" ht="30" hidden="false" customHeight="true" outlineLevel="0" collapsed="false">
      <c r="A31" s="36" t="s">
        <v>56</v>
      </c>
      <c r="B31" s="14" t="s">
        <v>50</v>
      </c>
      <c r="C31" s="14"/>
      <c r="D31" s="14" t="s">
        <v>51</v>
      </c>
      <c r="E31" s="14"/>
      <c r="F31" s="14" t="s">
        <v>52</v>
      </c>
      <c r="G31" s="14"/>
      <c r="H31" s="14" t="s">
        <v>53</v>
      </c>
      <c r="I31" s="14"/>
    </row>
    <row r="32" customFormat="false" ht="15" hidden="false" customHeight="false" outlineLevel="0" collapsed="false">
      <c r="A32" s="37" t="str">
        <f aca="false">HYPERLINK("#'Alpha'!A1","Alpha")</f>
        <v>Alpha</v>
      </c>
      <c r="B32" s="41" t="str">
        <f aca="false">IF($A32="","",IF(ISNUMBER(B82),B82,"N/A"))</f>
        <v>N/A</v>
      </c>
      <c r="C32" s="41"/>
      <c r="D32" s="38" t="str">
        <f aca="false">IF($A32="","",IF(N(E82)=0,"N/A",N(D82)/E82))</f>
        <v>N/A</v>
      </c>
      <c r="E32" s="39" t="str">
        <f aca="false">IF(OR($A32="",N(E82)=0),"",N(D82)&amp;"/"&amp;E82)</f>
        <v/>
      </c>
      <c r="F32" s="38" t="str">
        <f aca="false">IF($A32="","",IF(N(G82)=0,"N/A",N(F82)/G82))</f>
        <v>N/A</v>
      </c>
      <c r="G32" s="39" t="str">
        <f aca="false">IF(OR($A32="",N(G82)=0),"",N(F82)&amp;"/"&amp;G82)</f>
        <v/>
      </c>
      <c r="H32" s="38" t="str">
        <f aca="false">IF($A32="","",IF(N(I82)=0,"N/A",N(H82)/I82))</f>
        <v>N/A</v>
      </c>
      <c r="I32" s="39" t="str">
        <f aca="false">IF(OR($A32="",N(I82)=0),"",N(H82)&amp;"/"&amp;I82)</f>
        <v/>
      </c>
    </row>
    <row r="33" customFormat="false" ht="15" hidden="false" customHeight="false" outlineLevel="0" collapsed="false">
      <c r="A33" s="37" t="str">
        <f aca="false">HYPERLINK("#'Calder'!A1","Calder")</f>
        <v>Calder</v>
      </c>
      <c r="B33" s="41" t="str">
        <f aca="false">IF($A33="","",IF(ISNUMBER(B83),B83,"N/A"))</f>
        <v>N/A</v>
      </c>
      <c r="C33" s="41"/>
      <c r="D33" s="38" t="str">
        <f aca="false">IF($A33="","",IF(N(E83)=0,"N/A",N(D83)/E83))</f>
        <v>N/A</v>
      </c>
      <c r="E33" s="39" t="str">
        <f aca="false">IF(OR($A33="",N(E83)=0),"",N(D83)&amp;"/"&amp;E83)</f>
        <v/>
      </c>
      <c r="F33" s="38" t="str">
        <f aca="false">IF($A33="","",IF(N(G83)=0,"N/A",N(F83)/G83))</f>
        <v>N/A</v>
      </c>
      <c r="G33" s="39" t="str">
        <f aca="false">IF(OR($A33="",N(G83)=0),"",N(F83)&amp;"/"&amp;G83)</f>
        <v/>
      </c>
      <c r="H33" s="38" t="str">
        <f aca="false">IF($A33="","",IF(N(I83)=0,"N/A",N(H83)/I83))</f>
        <v>N/A</v>
      </c>
      <c r="I33" s="39" t="str">
        <f aca="false">IF(OR($A33="",N(I83)=0),"",N(H83)&amp;"/"&amp;I83)</f>
        <v/>
      </c>
    </row>
    <row r="34" customFormat="false" ht="15" hidden="false" customHeight="false" outlineLevel="0" collapsed="false">
      <c r="A34" s="37" t="str">
        <f aca="false">HYPERLINK("#'Repro Decom'!A1","Repro Decom")</f>
        <v>Repro Decom</v>
      </c>
      <c r="B34" s="41" t="str">
        <f aca="false">IF($A34="","",IF(ISNUMBER(B84),B84,"N/A"))</f>
        <v>N/A</v>
      </c>
      <c r="C34" s="41"/>
      <c r="D34" s="38" t="str">
        <f aca="false">IF($A34="","",IF(N(E84)=0,"N/A",N(D84)/E84))</f>
        <v>N/A</v>
      </c>
      <c r="E34" s="39" t="str">
        <f aca="false">IF(OR($A34="",N(E84)=0),"",N(D84)&amp;"/"&amp;E84)</f>
        <v/>
      </c>
      <c r="F34" s="38" t="str">
        <f aca="false">IF($A34="","",IF(N(G84)=0,"N/A",N(F84)/G84))</f>
        <v>N/A</v>
      </c>
      <c r="G34" s="39" t="str">
        <f aca="false">IF(OR($A34="",N(G84)=0),"",N(F84)&amp;"/"&amp;G84)</f>
        <v/>
      </c>
      <c r="H34" s="38" t="str">
        <f aca="false">IF($A34="","",IF(N(I84)=0,"N/A",N(H84)/I84))</f>
        <v>N/A</v>
      </c>
      <c r="I34" s="39" t="str">
        <f aca="false">IF(OR($A34="",N(I84)=0),"",N(H84)&amp;"/"&amp;I84)</f>
        <v/>
      </c>
    </row>
    <row r="35" customFormat="false" ht="15" hidden="false" customHeight="false" outlineLevel="0" collapsed="false">
      <c r="A35" s="37" t="str">
        <f aca="false">HYPERLINK("#'Windscale'!A1","Windscale")</f>
        <v>Windscale</v>
      </c>
      <c r="B35" s="41" t="str">
        <f aca="false">IF($A35="","",IF(ISNUMBER(B85),B85,"N/A"))</f>
        <v>N/A</v>
      </c>
      <c r="C35" s="41"/>
      <c r="D35" s="38" t="str">
        <f aca="false">IF($A35="","",IF(N(E85)=0,"N/A",N(D85)/E85))</f>
        <v>N/A</v>
      </c>
      <c r="E35" s="39" t="str">
        <f aca="false">IF(OR($A35="",N(E85)=0),"",N(D85)&amp;"/"&amp;E85)</f>
        <v/>
      </c>
      <c r="F35" s="38" t="str">
        <f aca="false">IF($A35="","",IF(N(G85)=0,"N/A",N(F85)/G85))</f>
        <v>N/A</v>
      </c>
      <c r="G35" s="39" t="str">
        <f aca="false">IF(OR($A35="",N(G85)=0),"",N(F85)&amp;"/"&amp;G85)</f>
        <v/>
      </c>
      <c r="H35" s="38" t="str">
        <f aca="false">IF($A35="","",IF(N(I85)=0,"N/A",N(H85)/I85))</f>
        <v>N/A</v>
      </c>
      <c r="I35" s="39" t="str">
        <f aca="false">IF(OR($A35="",N(I85)=0),"",N(H85)&amp;"/"&amp;I85)</f>
        <v/>
      </c>
    </row>
    <row r="36" customFormat="false" ht="15" hidden="false" customHeight="false" outlineLevel="0" collapsed="false">
      <c r="A36" s="40" t="s">
        <v>57</v>
      </c>
      <c r="B36" s="41" t="str">
        <f aca="false">IF($A36="","",IF(ISNUMBER(B86),B86,"N/A"))</f>
        <v>N/A</v>
      </c>
      <c r="C36" s="41"/>
      <c r="D36" s="38" t="str">
        <f aca="false">IF($A36="","",IF(N(E86)=0,"N/A",N(D86)/E86))</f>
        <v>N/A</v>
      </c>
      <c r="E36" s="39" t="str">
        <f aca="false">IF(OR($A36="",N(E86)=0),"",N(D86)&amp;"/"&amp;E86)</f>
        <v/>
      </c>
      <c r="F36" s="38" t="str">
        <f aca="false">IF($A36="","",IF(N(G86)=0,"N/A",N(F86)/G86))</f>
        <v>N/A</v>
      </c>
      <c r="G36" s="39" t="str">
        <f aca="false">IF(OR($A36="",N(G86)=0),"",N(F86)&amp;"/"&amp;G86)</f>
        <v/>
      </c>
      <c r="H36" s="38" t="str">
        <f aca="false">IF($A36="","",IF(N(I86)=0,"N/A",N(H86)/I86))</f>
        <v>N/A</v>
      </c>
      <c r="I36" s="39" t="str">
        <f aca="false">IF(OR($A36="",N(I86)=0),"",N(H86)&amp;"/"&amp;I86)</f>
        <v/>
      </c>
    </row>
    <row r="38" customFormat="false" ht="21.75" hidden="false" customHeight="true" outlineLevel="0" collapsed="false">
      <c r="A38" s="3" t="str">
        <f aca="false">"DNWP Lot 1 performance – "&amp;CurLbl</f>
        <v>DNWP Lot 1 performance – P7</v>
      </c>
      <c r="B38" s="4"/>
      <c r="C38" s="4"/>
      <c r="D38" s="4"/>
      <c r="E38" s="4"/>
      <c r="F38" s="4"/>
      <c r="G38" s="4"/>
      <c r="H38" s="4"/>
      <c r="I38" s="4"/>
      <c r="J38" s="4"/>
      <c r="K38" s="4"/>
      <c r="L38" s="4"/>
      <c r="M38" s="4"/>
    </row>
    <row r="39" customFormat="false" ht="15" hidden="false" customHeight="true" outlineLevel="0" collapsed="false">
      <c r="A39" s="16" t="s">
        <v>58</v>
      </c>
      <c r="B39" s="16"/>
      <c r="C39" s="16"/>
      <c r="D39" s="16"/>
      <c r="E39" s="16"/>
      <c r="F39" s="16"/>
      <c r="G39" s="16"/>
      <c r="H39" s="16"/>
      <c r="I39" s="16"/>
      <c r="J39" s="16"/>
      <c r="K39" s="16"/>
      <c r="L39" s="16"/>
      <c r="M39" s="16"/>
    </row>
    <row r="40" customFormat="false" ht="30" hidden="false" customHeight="true" outlineLevel="0" collapsed="false">
      <c r="A40" s="36" t="s">
        <v>59</v>
      </c>
      <c r="B40" s="14" t="s">
        <v>60</v>
      </c>
      <c r="C40" s="14"/>
      <c r="D40" s="14" t="s">
        <v>61</v>
      </c>
      <c r="E40" s="14"/>
      <c r="F40" s="14" t="s">
        <v>62</v>
      </c>
      <c r="G40" s="14"/>
      <c r="H40" s="14" t="s">
        <v>63</v>
      </c>
      <c r="I40" s="14"/>
      <c r="J40" s="14" t="s">
        <v>64</v>
      </c>
      <c r="K40" s="14"/>
      <c r="L40" s="14" t="s">
        <v>65</v>
      </c>
      <c r="M40" s="14"/>
    </row>
    <row r="41" customFormat="false" ht="30" hidden="false" customHeight="true" outlineLevel="0" collapsed="false">
      <c r="A41" s="42" t="s">
        <v>66</v>
      </c>
      <c r="B41" s="43"/>
      <c r="C41" s="43"/>
      <c r="D41" s="43"/>
      <c r="E41" s="43"/>
      <c r="F41" s="43"/>
      <c r="G41" s="43"/>
      <c r="H41" s="43"/>
      <c r="I41" s="43"/>
      <c r="J41" s="43"/>
      <c r="K41" s="43"/>
      <c r="L41" s="43"/>
      <c r="M41" s="43"/>
    </row>
    <row r="42" customFormat="false" ht="30" hidden="false" customHeight="true" outlineLevel="0" collapsed="false">
      <c r="A42" s="42" t="s">
        <v>67</v>
      </c>
      <c r="B42" s="43"/>
      <c r="C42" s="43"/>
      <c r="D42" s="43"/>
      <c r="E42" s="43"/>
      <c r="F42" s="43"/>
      <c r="G42" s="43"/>
      <c r="H42" s="43"/>
      <c r="I42" s="43"/>
      <c r="J42" s="43"/>
      <c r="K42" s="43"/>
      <c r="L42" s="43"/>
      <c r="M42" s="43"/>
    </row>
    <row r="43" customFormat="false" ht="36" hidden="false" customHeight="true" outlineLevel="0" collapsed="false">
      <c r="A43" s="44" t="s">
        <v>68</v>
      </c>
      <c r="B43" s="45"/>
      <c r="C43" s="45"/>
      <c r="D43" s="45"/>
      <c r="E43" s="45"/>
      <c r="F43" s="45"/>
      <c r="G43" s="45"/>
      <c r="H43" s="45"/>
      <c r="I43" s="45"/>
      <c r="J43" s="45"/>
      <c r="K43" s="45"/>
      <c r="L43" s="45"/>
      <c r="M43" s="45"/>
    </row>
    <row r="44" customFormat="false" ht="36" hidden="false" customHeight="true" outlineLevel="0" collapsed="false">
      <c r="A44" s="44" t="s">
        <v>69</v>
      </c>
      <c r="B44" s="45"/>
      <c r="C44" s="45"/>
      <c r="D44" s="45"/>
      <c r="E44" s="45"/>
      <c r="F44" s="45"/>
      <c r="G44" s="45"/>
      <c r="H44" s="45"/>
      <c r="I44" s="45"/>
      <c r="J44" s="45"/>
      <c r="K44" s="45"/>
      <c r="L44" s="45"/>
      <c r="M44" s="45"/>
    </row>
    <row r="46" customFormat="false" ht="21.75" hidden="false" customHeight="true" outlineLevel="0" collapsed="false">
      <c r="A46" s="3" t="s">
        <v>70</v>
      </c>
      <c r="B46" s="4"/>
      <c r="C46" s="4"/>
      <c r="D46" s="4"/>
      <c r="E46" s="4"/>
      <c r="F46" s="4"/>
      <c r="G46" s="4"/>
      <c r="H46" s="4"/>
      <c r="I46" s="4"/>
      <c r="J46" s="4"/>
      <c r="K46" s="4"/>
      <c r="L46" s="4"/>
      <c r="M46" s="4"/>
    </row>
    <row r="47" customFormat="false" ht="48" hidden="false" customHeight="true" outlineLevel="0" collapsed="false">
      <c r="A47" s="46" t="s">
        <v>71</v>
      </c>
      <c r="B47" s="47" t="str">
        <f aca="false">IF(Alpha!J17="","No escalations recorded",Alpha!J17)</f>
        <v>No escalations recorded</v>
      </c>
      <c r="C47" s="47"/>
      <c r="D47" s="47"/>
      <c r="E47" s="47"/>
      <c r="F47" s="47"/>
      <c r="G47" s="47"/>
      <c r="H47" s="47"/>
      <c r="I47" s="47"/>
      <c r="J47" s="47"/>
      <c r="K47" s="47"/>
      <c r="L47" s="47"/>
      <c r="M47" s="47"/>
    </row>
    <row r="48" customFormat="false" ht="48" hidden="false" customHeight="true" outlineLevel="0" collapsed="false">
      <c r="A48" s="46" t="s">
        <v>72</v>
      </c>
      <c r="B48" s="47" t="str">
        <f aca="false">IF(Calder!J17="","No escalations recorded",Calder!J17)</f>
        <v>No escalations recorded</v>
      </c>
      <c r="C48" s="47"/>
      <c r="D48" s="47"/>
      <c r="E48" s="47"/>
      <c r="F48" s="47"/>
      <c r="G48" s="47"/>
      <c r="H48" s="47"/>
      <c r="I48" s="47"/>
      <c r="J48" s="47"/>
      <c r="K48" s="47"/>
      <c r="L48" s="47"/>
      <c r="M48" s="47"/>
    </row>
    <row r="49" customFormat="false" ht="48" hidden="false" customHeight="true" outlineLevel="0" collapsed="false">
      <c r="A49" s="46" t="s">
        <v>73</v>
      </c>
      <c r="B49" s="47" t="str">
        <f aca="false">IF('Repro Decom'!J17="","No escalations recorded",'Repro Decom'!J17)</f>
        <v>No escalations recorded</v>
      </c>
      <c r="C49" s="47"/>
      <c r="D49" s="47"/>
      <c r="E49" s="47"/>
      <c r="F49" s="47"/>
      <c r="G49" s="47"/>
      <c r="H49" s="47"/>
      <c r="I49" s="47"/>
      <c r="J49" s="47"/>
      <c r="K49" s="47"/>
      <c r="L49" s="47"/>
      <c r="M49" s="47"/>
    </row>
    <row r="50" customFormat="false" ht="48" hidden="false" customHeight="true" outlineLevel="0" collapsed="false">
      <c r="A50" s="46" t="s">
        <v>74</v>
      </c>
      <c r="B50" s="47" t="str">
        <f aca="false">IF(Windscale!J17="","No escalations recorded",Windscale!J17)</f>
        <v>No escalations recorded</v>
      </c>
      <c r="C50" s="47"/>
      <c r="D50" s="47"/>
      <c r="E50" s="47"/>
      <c r="F50" s="47"/>
      <c r="G50" s="47"/>
      <c r="H50" s="47"/>
      <c r="I50" s="47"/>
      <c r="J50" s="47"/>
      <c r="K50" s="47"/>
      <c r="L50" s="47"/>
      <c r="M50" s="47"/>
    </row>
    <row r="52" customFormat="false" ht="21.75" hidden="false" customHeight="true" outlineLevel="0" collapsed="false">
      <c r="A52" s="3" t="s">
        <v>75</v>
      </c>
      <c r="B52" s="4"/>
      <c r="C52" s="4"/>
      <c r="D52" s="4"/>
      <c r="E52" s="4"/>
      <c r="F52" s="4"/>
      <c r="G52" s="4"/>
      <c r="H52" s="4"/>
      <c r="I52" s="4"/>
      <c r="J52" s="4"/>
      <c r="K52" s="4"/>
      <c r="L52" s="4"/>
      <c r="M52" s="4"/>
    </row>
    <row r="53" customFormat="false" ht="15" hidden="false" customHeight="true" outlineLevel="0" collapsed="false">
      <c r="A53" s="36" t="s">
        <v>56</v>
      </c>
      <c r="B53" s="30" t="s">
        <v>76</v>
      </c>
      <c r="C53" s="30"/>
      <c r="D53" s="30"/>
      <c r="E53" s="30" t="s">
        <v>77</v>
      </c>
      <c r="F53" s="30"/>
      <c r="G53" s="30"/>
      <c r="H53" s="30" t="s">
        <v>78</v>
      </c>
      <c r="I53" s="30"/>
      <c r="J53" s="30"/>
      <c r="K53" s="30" t="s">
        <v>79</v>
      </c>
      <c r="L53" s="30"/>
      <c r="M53" s="30"/>
    </row>
    <row r="54" customFormat="false" ht="109.5" hidden="false" customHeight="true" outlineLevel="0" collapsed="false">
      <c r="A54" s="46" t="s">
        <v>71</v>
      </c>
      <c r="B54" s="47" t="str">
        <f aca="false">IF(Alpha!B36="","",Alpha!$A36&amp;": "&amp;Alpha!B36&amp;CHAR(10))&amp;IF(Alpha!B37="","",Alpha!$A37&amp;": "&amp;Alpha!B37&amp;CHAR(10))&amp;IF(Alpha!B38="","",Alpha!$A38&amp;": "&amp;Alpha!B38&amp;CHAR(10))&amp;IF(Alpha!B39="","",Alpha!$A39&amp;": "&amp;Alpha!B39&amp;CHAR(10))&amp;IF(Alpha!B40="","",Alpha!$A40&amp;": "&amp;Alpha!B40&amp;CHAR(10))&amp;IF(Alpha!B41="","",Alpha!$A41&amp;": "&amp;Alpha!B41&amp;CHAR(10))&amp;IF(Alpha!B42="","",Alpha!$A42&amp;": "&amp;Alpha!B42&amp;CHAR(10))&amp;IF(Alpha!B43="","",Alpha!$A43&amp;": "&amp;Alpha!B43&amp;CHAR(10))&amp;IF(Alpha!B44="","",Alpha!$A44&amp;": "&amp;Alpha!B44&amp;CHAR(10))</f>
        <v/>
      </c>
      <c r="C54" s="47"/>
      <c r="D54" s="47"/>
      <c r="E54" s="47" t="str">
        <f aca="false">IF(Alpha!E36="","",Alpha!$A36&amp;": "&amp;Alpha!E36&amp;CHAR(10))&amp;IF(Alpha!E37="","",Alpha!$A37&amp;": "&amp;Alpha!E37&amp;CHAR(10))&amp;IF(Alpha!E38="","",Alpha!$A38&amp;": "&amp;Alpha!E38&amp;CHAR(10))&amp;IF(Alpha!E39="","",Alpha!$A39&amp;": "&amp;Alpha!E39&amp;CHAR(10))&amp;IF(Alpha!E40="","",Alpha!$A40&amp;": "&amp;Alpha!E40&amp;CHAR(10))&amp;IF(Alpha!E41="","",Alpha!$A41&amp;": "&amp;Alpha!E41&amp;CHAR(10))&amp;IF(Alpha!E42="","",Alpha!$A42&amp;": "&amp;Alpha!E42&amp;CHAR(10))&amp;IF(Alpha!E43="","",Alpha!$A43&amp;": "&amp;Alpha!E43&amp;CHAR(10))&amp;IF(Alpha!E44="","",Alpha!$A44&amp;": "&amp;Alpha!E44&amp;CHAR(10))</f>
        <v/>
      </c>
      <c r="F54" s="47"/>
      <c r="G54" s="47"/>
      <c r="H54" s="47" t="str">
        <f aca="false">IF(Alpha!H36="","",Alpha!$A36&amp;": "&amp;Alpha!H36&amp;CHAR(10))&amp;IF(Alpha!H37="","",Alpha!$A37&amp;": "&amp;Alpha!H37&amp;CHAR(10))&amp;IF(Alpha!H38="","",Alpha!$A38&amp;": "&amp;Alpha!H38&amp;CHAR(10))&amp;IF(Alpha!H39="","",Alpha!$A39&amp;": "&amp;Alpha!H39&amp;CHAR(10))&amp;IF(Alpha!H40="","",Alpha!$A40&amp;": "&amp;Alpha!H40&amp;CHAR(10))&amp;IF(Alpha!H41="","",Alpha!$A41&amp;": "&amp;Alpha!H41&amp;CHAR(10))&amp;IF(Alpha!H42="","",Alpha!$A42&amp;": "&amp;Alpha!H42&amp;CHAR(10))&amp;IF(Alpha!H43="","",Alpha!$A43&amp;": "&amp;Alpha!H43&amp;CHAR(10))&amp;IF(Alpha!H44="","",Alpha!$A44&amp;": "&amp;Alpha!H44&amp;CHAR(10))</f>
        <v/>
      </c>
      <c r="I54" s="47"/>
      <c r="J54" s="47"/>
      <c r="K54" s="47" t="str">
        <f aca="false">IF(Alpha!K36="","",Alpha!$A36&amp;": "&amp;Alpha!K36&amp;CHAR(10))&amp;IF(Alpha!K37="","",Alpha!$A37&amp;": "&amp;Alpha!K37&amp;CHAR(10))&amp;IF(Alpha!K38="","",Alpha!$A38&amp;": "&amp;Alpha!K38&amp;CHAR(10))&amp;IF(Alpha!K39="","",Alpha!$A39&amp;": "&amp;Alpha!K39&amp;CHAR(10))&amp;IF(Alpha!K40="","",Alpha!$A40&amp;": "&amp;Alpha!K40&amp;CHAR(10))&amp;IF(Alpha!K41="","",Alpha!$A41&amp;": "&amp;Alpha!K41&amp;CHAR(10))&amp;IF(Alpha!K42="","",Alpha!$A42&amp;": "&amp;Alpha!K42&amp;CHAR(10))&amp;IF(Alpha!K43="","",Alpha!$A43&amp;": "&amp;Alpha!K43&amp;CHAR(10))&amp;IF(Alpha!K44="","",Alpha!$A44&amp;": "&amp;Alpha!K44&amp;CHAR(10))</f>
        <v/>
      </c>
      <c r="L54" s="47"/>
      <c r="M54" s="47"/>
    </row>
    <row r="55" customFormat="false" ht="109.5" hidden="false" customHeight="true" outlineLevel="0" collapsed="false">
      <c r="A55" s="46" t="s">
        <v>72</v>
      </c>
      <c r="B55" s="47" t="str">
        <f aca="false">IF(Calder!B36="","",Calder!$A36&amp;": "&amp;Calder!B36&amp;CHAR(10))&amp;IF(Calder!B37="","",Calder!$A37&amp;": "&amp;Calder!B37&amp;CHAR(10))&amp;IF(Calder!B38="","",Calder!$A38&amp;": "&amp;Calder!B38&amp;CHAR(10))&amp;IF(Calder!B39="","",Calder!$A39&amp;": "&amp;Calder!B39&amp;CHAR(10))&amp;IF(Calder!B40="","",Calder!$A40&amp;": "&amp;Calder!B40&amp;CHAR(10))&amp;IF(Calder!B41="","",Calder!$A41&amp;": "&amp;Calder!B41&amp;CHAR(10))&amp;IF(Calder!B42="","",Calder!$A42&amp;": "&amp;Calder!B42&amp;CHAR(10))&amp;IF(Calder!B43="","",Calder!$A43&amp;": "&amp;Calder!B43&amp;CHAR(10))&amp;IF(Calder!B44="","",Calder!$A44&amp;": "&amp;Calder!B44&amp;CHAR(10))</f>
        <v/>
      </c>
      <c r="C55" s="47"/>
      <c r="D55" s="47"/>
      <c r="E55" s="47" t="str">
        <f aca="false">IF(Calder!E36="","",Calder!$A36&amp;": "&amp;Calder!E36&amp;CHAR(10))&amp;IF(Calder!E37="","",Calder!$A37&amp;": "&amp;Calder!E37&amp;CHAR(10))&amp;IF(Calder!E38="","",Calder!$A38&amp;": "&amp;Calder!E38&amp;CHAR(10))&amp;IF(Calder!E39="","",Calder!$A39&amp;": "&amp;Calder!E39&amp;CHAR(10))&amp;IF(Calder!E40="","",Calder!$A40&amp;": "&amp;Calder!E40&amp;CHAR(10))&amp;IF(Calder!E41="","",Calder!$A41&amp;": "&amp;Calder!E41&amp;CHAR(10))&amp;IF(Calder!E42="","",Calder!$A42&amp;": "&amp;Calder!E42&amp;CHAR(10))&amp;IF(Calder!E43="","",Calder!$A43&amp;": "&amp;Calder!E43&amp;CHAR(10))&amp;IF(Calder!E44="","",Calder!$A44&amp;": "&amp;Calder!E44&amp;CHAR(10))</f>
        <v/>
      </c>
      <c r="F55" s="47"/>
      <c r="G55" s="47"/>
      <c r="H55" s="47" t="str">
        <f aca="false">IF(Calder!H36="","",Calder!$A36&amp;": "&amp;Calder!H36&amp;CHAR(10))&amp;IF(Calder!H37="","",Calder!$A37&amp;": "&amp;Calder!H37&amp;CHAR(10))&amp;IF(Calder!H38="","",Calder!$A38&amp;": "&amp;Calder!H38&amp;CHAR(10))&amp;IF(Calder!H39="","",Calder!$A39&amp;": "&amp;Calder!H39&amp;CHAR(10))&amp;IF(Calder!H40="","",Calder!$A40&amp;": "&amp;Calder!H40&amp;CHAR(10))&amp;IF(Calder!H41="","",Calder!$A41&amp;": "&amp;Calder!H41&amp;CHAR(10))&amp;IF(Calder!H42="","",Calder!$A42&amp;": "&amp;Calder!H42&amp;CHAR(10))&amp;IF(Calder!H43="","",Calder!$A43&amp;": "&amp;Calder!H43&amp;CHAR(10))&amp;IF(Calder!H44="","",Calder!$A44&amp;": "&amp;Calder!H44&amp;CHAR(10))</f>
        <v/>
      </c>
      <c r="I55" s="47"/>
      <c r="J55" s="47"/>
      <c r="K55" s="47" t="str">
        <f aca="false">IF(Calder!K36="","",Calder!$A36&amp;": "&amp;Calder!K36&amp;CHAR(10))&amp;IF(Calder!K37="","",Calder!$A37&amp;": "&amp;Calder!K37&amp;CHAR(10))&amp;IF(Calder!K38="","",Calder!$A38&amp;": "&amp;Calder!K38&amp;CHAR(10))&amp;IF(Calder!K39="","",Calder!$A39&amp;": "&amp;Calder!K39&amp;CHAR(10))&amp;IF(Calder!K40="","",Calder!$A40&amp;": "&amp;Calder!K40&amp;CHAR(10))&amp;IF(Calder!K41="","",Calder!$A41&amp;": "&amp;Calder!K41&amp;CHAR(10))&amp;IF(Calder!K42="","",Calder!$A42&amp;": "&amp;Calder!K42&amp;CHAR(10))&amp;IF(Calder!K43="","",Calder!$A43&amp;": "&amp;Calder!K43&amp;CHAR(10))&amp;IF(Calder!K44="","",Calder!$A44&amp;": "&amp;Calder!K44&amp;CHAR(10))</f>
        <v/>
      </c>
      <c r="L55" s="47"/>
      <c r="M55" s="47"/>
    </row>
    <row r="56" customFormat="false" ht="109.5" hidden="false" customHeight="true" outlineLevel="0" collapsed="false">
      <c r="A56" s="46" t="s">
        <v>73</v>
      </c>
      <c r="B56" s="47" t="str">
        <f aca="false">IF('Repro Decom'!B36="","",'Repro Decom'!$A36&amp;": "&amp;'Repro Decom'!B36&amp;CHAR(10))&amp;IF('Repro Decom'!B37="","",'Repro Decom'!$A37&amp;": "&amp;'Repro Decom'!B37&amp;CHAR(10))&amp;IF('Repro Decom'!B38="","",'Repro Decom'!$A38&amp;": "&amp;'Repro Decom'!B38&amp;CHAR(10))&amp;IF('Repro Decom'!B39="","",'Repro Decom'!$A39&amp;": "&amp;'Repro Decom'!B39&amp;CHAR(10))&amp;IF('Repro Decom'!B40="","",'Repro Decom'!$A40&amp;": "&amp;'Repro Decom'!B40&amp;CHAR(10))&amp;IF('Repro Decom'!B41="","",'Repro Decom'!$A41&amp;": "&amp;'Repro Decom'!B41&amp;CHAR(10))&amp;IF('Repro Decom'!B42="","",'Repro Decom'!$A42&amp;": "&amp;'Repro Decom'!B42&amp;CHAR(10))&amp;IF('Repro Decom'!B43="","",'Repro Decom'!$A43&amp;": "&amp;'Repro Decom'!B43&amp;CHAR(10))&amp;IF('Repro Decom'!B44="","",'Repro Decom'!$A44&amp;": "&amp;'Repro Decom'!B44&amp;CHAR(10))</f>
        <v/>
      </c>
      <c r="C56" s="47"/>
      <c r="D56" s="47"/>
      <c r="E56" s="47" t="str">
        <f aca="false">IF('Repro Decom'!E36="","",'Repro Decom'!$A36&amp;": "&amp;'Repro Decom'!E36&amp;CHAR(10))&amp;IF('Repro Decom'!E37="","",'Repro Decom'!$A37&amp;": "&amp;'Repro Decom'!E37&amp;CHAR(10))&amp;IF('Repro Decom'!E38="","",'Repro Decom'!$A38&amp;": "&amp;'Repro Decom'!E38&amp;CHAR(10))&amp;IF('Repro Decom'!E39="","",'Repro Decom'!$A39&amp;": "&amp;'Repro Decom'!E39&amp;CHAR(10))&amp;IF('Repro Decom'!E40="","",'Repro Decom'!$A40&amp;": "&amp;'Repro Decom'!E40&amp;CHAR(10))&amp;IF('Repro Decom'!E41="","",'Repro Decom'!$A41&amp;": "&amp;'Repro Decom'!E41&amp;CHAR(10))&amp;IF('Repro Decom'!E42="","",'Repro Decom'!$A42&amp;": "&amp;'Repro Decom'!E42&amp;CHAR(10))&amp;IF('Repro Decom'!E43="","",'Repro Decom'!$A43&amp;": "&amp;'Repro Decom'!E43&amp;CHAR(10))&amp;IF('Repro Decom'!E44="","",'Repro Decom'!$A44&amp;": "&amp;'Repro Decom'!E44&amp;CHAR(10))</f>
        <v/>
      </c>
      <c r="F56" s="47"/>
      <c r="G56" s="47"/>
      <c r="H56" s="47" t="str">
        <f aca="false">IF('Repro Decom'!H36="","",'Repro Decom'!$A36&amp;": "&amp;'Repro Decom'!H36&amp;CHAR(10))&amp;IF('Repro Decom'!H37="","",'Repro Decom'!$A37&amp;": "&amp;'Repro Decom'!H37&amp;CHAR(10))&amp;IF('Repro Decom'!H38="","",'Repro Decom'!$A38&amp;": "&amp;'Repro Decom'!H38&amp;CHAR(10))&amp;IF('Repro Decom'!H39="","",'Repro Decom'!$A39&amp;": "&amp;'Repro Decom'!H39&amp;CHAR(10))&amp;IF('Repro Decom'!H40="","",'Repro Decom'!$A40&amp;": "&amp;'Repro Decom'!H40&amp;CHAR(10))&amp;IF('Repro Decom'!H41="","",'Repro Decom'!$A41&amp;": "&amp;'Repro Decom'!H41&amp;CHAR(10))&amp;IF('Repro Decom'!H42="","",'Repro Decom'!$A42&amp;": "&amp;'Repro Decom'!H42&amp;CHAR(10))&amp;IF('Repro Decom'!H43="","",'Repro Decom'!$A43&amp;": "&amp;'Repro Decom'!H43&amp;CHAR(10))&amp;IF('Repro Decom'!H44="","",'Repro Decom'!$A44&amp;": "&amp;'Repro Decom'!H44&amp;CHAR(10))</f>
        <v/>
      </c>
      <c r="I56" s="47"/>
      <c r="J56" s="47"/>
      <c r="K56" s="47" t="str">
        <f aca="false">IF('Repro Decom'!K36="","",'Repro Decom'!$A36&amp;": "&amp;'Repro Decom'!K36&amp;CHAR(10))&amp;IF('Repro Decom'!K37="","",'Repro Decom'!$A37&amp;": "&amp;'Repro Decom'!K37&amp;CHAR(10))&amp;IF('Repro Decom'!K38="","",'Repro Decom'!$A38&amp;": "&amp;'Repro Decom'!K38&amp;CHAR(10))&amp;IF('Repro Decom'!K39="","",'Repro Decom'!$A39&amp;": "&amp;'Repro Decom'!K39&amp;CHAR(10))&amp;IF('Repro Decom'!K40="","",'Repro Decom'!$A40&amp;": "&amp;'Repro Decom'!K40&amp;CHAR(10))&amp;IF('Repro Decom'!K41="","",'Repro Decom'!$A41&amp;": "&amp;'Repro Decom'!K41&amp;CHAR(10))&amp;IF('Repro Decom'!K42="","",'Repro Decom'!$A42&amp;": "&amp;'Repro Decom'!K42&amp;CHAR(10))&amp;IF('Repro Decom'!K43="","",'Repro Decom'!$A43&amp;": "&amp;'Repro Decom'!K43&amp;CHAR(10))&amp;IF('Repro Decom'!K44="","",'Repro Decom'!$A44&amp;": "&amp;'Repro Decom'!K44&amp;CHAR(10))</f>
        <v/>
      </c>
      <c r="L56" s="47"/>
      <c r="M56" s="47"/>
    </row>
    <row r="57" customFormat="false" ht="109.5" hidden="false" customHeight="true" outlineLevel="0" collapsed="false">
      <c r="A57" s="46" t="s">
        <v>74</v>
      </c>
      <c r="B57" s="47" t="str">
        <f aca="false">IF(Windscale!B36="","",Windscale!$A36&amp;": "&amp;Windscale!B36&amp;CHAR(10))&amp;IF(Windscale!B37="","",Windscale!$A37&amp;": "&amp;Windscale!B37&amp;CHAR(10))&amp;IF(Windscale!B38="","",Windscale!$A38&amp;": "&amp;Windscale!B38&amp;CHAR(10))&amp;IF(Windscale!B39="","",Windscale!$A39&amp;": "&amp;Windscale!B39&amp;CHAR(10))&amp;IF(Windscale!B40="","",Windscale!$A40&amp;": "&amp;Windscale!B40&amp;CHAR(10))&amp;IF(Windscale!B41="","",Windscale!$A41&amp;": "&amp;Windscale!B41&amp;CHAR(10))&amp;IF(Windscale!B42="","",Windscale!$A42&amp;": "&amp;Windscale!B42&amp;CHAR(10))&amp;IF(Windscale!B43="","",Windscale!$A43&amp;": "&amp;Windscale!B43&amp;CHAR(10))&amp;IF(Windscale!B44="","",Windscale!$A44&amp;": "&amp;Windscale!B44&amp;CHAR(10))</f>
        <v/>
      </c>
      <c r="C57" s="47"/>
      <c r="D57" s="47"/>
      <c r="E57" s="47" t="str">
        <f aca="false">IF(Windscale!E36="","",Windscale!$A36&amp;": "&amp;Windscale!E36&amp;CHAR(10))&amp;IF(Windscale!E37="","",Windscale!$A37&amp;": "&amp;Windscale!E37&amp;CHAR(10))&amp;IF(Windscale!E38="","",Windscale!$A38&amp;": "&amp;Windscale!E38&amp;CHAR(10))&amp;IF(Windscale!E39="","",Windscale!$A39&amp;": "&amp;Windscale!E39&amp;CHAR(10))&amp;IF(Windscale!E40="","",Windscale!$A40&amp;": "&amp;Windscale!E40&amp;CHAR(10))&amp;IF(Windscale!E41="","",Windscale!$A41&amp;": "&amp;Windscale!E41&amp;CHAR(10))&amp;IF(Windscale!E42="","",Windscale!$A42&amp;": "&amp;Windscale!E42&amp;CHAR(10))&amp;IF(Windscale!E43="","",Windscale!$A43&amp;": "&amp;Windscale!E43&amp;CHAR(10))&amp;IF(Windscale!E44="","",Windscale!$A44&amp;": "&amp;Windscale!E44&amp;CHAR(10))</f>
        <v/>
      </c>
      <c r="F57" s="47"/>
      <c r="G57" s="47"/>
      <c r="H57" s="47" t="str">
        <f aca="false">IF(Windscale!H36="","",Windscale!$A36&amp;": "&amp;Windscale!H36&amp;CHAR(10))&amp;IF(Windscale!H37="","",Windscale!$A37&amp;": "&amp;Windscale!H37&amp;CHAR(10))&amp;IF(Windscale!H38="","",Windscale!$A38&amp;": "&amp;Windscale!H38&amp;CHAR(10))&amp;IF(Windscale!H39="","",Windscale!$A39&amp;": "&amp;Windscale!H39&amp;CHAR(10))&amp;IF(Windscale!H40="","",Windscale!$A40&amp;": "&amp;Windscale!H40&amp;CHAR(10))&amp;IF(Windscale!H41="","",Windscale!$A41&amp;": "&amp;Windscale!H41&amp;CHAR(10))&amp;IF(Windscale!H42="","",Windscale!$A42&amp;": "&amp;Windscale!H42&amp;CHAR(10))&amp;IF(Windscale!H43="","",Windscale!$A43&amp;": "&amp;Windscale!H43&amp;CHAR(10))&amp;IF(Windscale!H44="","",Windscale!$A44&amp;": "&amp;Windscale!H44&amp;CHAR(10))</f>
        <v/>
      </c>
      <c r="I57" s="47"/>
      <c r="J57" s="47"/>
      <c r="K57" s="47" t="str">
        <f aca="false">IF(Windscale!K36="","",Windscale!$A36&amp;": "&amp;Windscale!K36&amp;CHAR(10))&amp;IF(Windscale!K37="","",Windscale!$A37&amp;": "&amp;Windscale!K37&amp;CHAR(10))&amp;IF(Windscale!K38="","",Windscale!$A38&amp;": "&amp;Windscale!K38&amp;CHAR(10))&amp;IF(Windscale!K39="","",Windscale!$A39&amp;": "&amp;Windscale!K39&amp;CHAR(10))&amp;IF(Windscale!K40="","",Windscale!$A40&amp;": "&amp;Windscale!K40&amp;CHAR(10))&amp;IF(Windscale!K41="","",Windscale!$A41&amp;": "&amp;Windscale!K41&amp;CHAR(10))&amp;IF(Windscale!K42="","",Windscale!$A42&amp;": "&amp;Windscale!K42&amp;CHAR(10))&amp;IF(Windscale!K43="","",Windscale!$A43&amp;": "&amp;Windscale!K43&amp;CHAR(10))&amp;IF(Windscale!K44="","",Windscale!$A44&amp;": "&amp;Windscale!K44&amp;CHAR(10))</f>
        <v/>
      </c>
      <c r="L57" s="47"/>
      <c r="M57" s="47"/>
    </row>
    <row r="59" customFormat="false" ht="21.75" hidden="false" customHeight="true" outlineLevel="0" collapsed="false">
      <c r="A59" s="3" t="s">
        <v>80</v>
      </c>
      <c r="B59" s="4"/>
      <c r="C59" s="4"/>
      <c r="D59" s="4"/>
      <c r="E59" s="4"/>
      <c r="F59" s="4"/>
      <c r="G59" s="4"/>
      <c r="H59" s="4"/>
      <c r="I59" s="4"/>
      <c r="J59" s="4"/>
      <c r="K59" s="4"/>
      <c r="L59" s="4"/>
      <c r="M59" s="4"/>
    </row>
    <row r="61" customFormat="false" ht="15" hidden="false" customHeight="false" outlineLevel="0" collapsed="false">
      <c r="A61" s="34" t="str">
        <f aca="false">"PowerBI data – current period ("&amp;CurLbl&amp;")"</f>
        <v>PowerBI data – current period (P7)</v>
      </c>
      <c r="B61" s="35"/>
      <c r="C61" s="35"/>
      <c r="D61" s="35"/>
      <c r="E61" s="35"/>
      <c r="F61" s="35"/>
      <c r="G61" s="35"/>
      <c r="H61" s="35"/>
      <c r="I61" s="35"/>
      <c r="J61" s="35"/>
      <c r="K61" s="35"/>
      <c r="L61" s="35"/>
      <c r="M61" s="35"/>
    </row>
    <row r="62" customFormat="false" ht="30" hidden="false" customHeight="true" outlineLevel="0" collapsed="false">
      <c r="A62" s="36" t="s">
        <v>56</v>
      </c>
      <c r="B62" s="14" t="s">
        <v>42</v>
      </c>
      <c r="C62" s="14"/>
      <c r="D62" s="14" t="s">
        <v>43</v>
      </c>
      <c r="E62" s="14"/>
      <c r="F62" s="14" t="s">
        <v>44</v>
      </c>
      <c r="G62" s="14"/>
      <c r="H62" s="14" t="s">
        <v>45</v>
      </c>
      <c r="I62" s="14"/>
      <c r="J62" s="14" t="s">
        <v>46</v>
      </c>
      <c r="K62" s="14"/>
      <c r="L62" s="14" t="s">
        <v>47</v>
      </c>
      <c r="M62" s="14"/>
    </row>
    <row r="63" customFormat="false" ht="15" hidden="false" customHeight="false" outlineLevel="0" collapsed="false">
      <c r="A63" s="36"/>
      <c r="B63" s="48" t="s">
        <v>81</v>
      </c>
      <c r="C63" s="48" t="s">
        <v>82</v>
      </c>
      <c r="D63" s="48" t="s">
        <v>81</v>
      </c>
      <c r="E63" s="48" t="s">
        <v>82</v>
      </c>
      <c r="F63" s="48" t="s">
        <v>81</v>
      </c>
      <c r="G63" s="48" t="s">
        <v>82</v>
      </c>
      <c r="H63" s="48" t="s">
        <v>81</v>
      </c>
      <c r="I63" s="48" t="s">
        <v>82</v>
      </c>
      <c r="J63" s="48" t="s">
        <v>81</v>
      </c>
      <c r="K63" s="48" t="s">
        <v>82</v>
      </c>
      <c r="L63" s="48" t="s">
        <v>81</v>
      </c>
      <c r="M63" s="48" t="s">
        <v>82</v>
      </c>
    </row>
    <row r="64" customFormat="false" ht="15" hidden="false" customHeight="false" outlineLevel="0" collapsed="false">
      <c r="A64" s="49" t="s">
        <v>71</v>
      </c>
      <c r="B64" s="50" t="n">
        <f aca="false">Alpha!B84</f>
        <v>0</v>
      </c>
      <c r="C64" s="50" t="n">
        <f aca="false">Alpha!C84</f>
        <v>0</v>
      </c>
      <c r="D64" s="50" t="n">
        <f aca="false">Alpha!D84</f>
        <v>0</v>
      </c>
      <c r="E64" s="50" t="n">
        <f aca="false">Alpha!E84</f>
        <v>0</v>
      </c>
      <c r="F64" s="50" t="n">
        <f aca="false">Alpha!F84</f>
        <v>0</v>
      </c>
      <c r="G64" s="50" t="n">
        <f aca="false">Alpha!G84</f>
        <v>0</v>
      </c>
      <c r="H64" s="50" t="n">
        <f aca="false">Alpha!H84</f>
        <v>0</v>
      </c>
      <c r="I64" s="50" t="n">
        <f aca="false">Alpha!I84</f>
        <v>0</v>
      </c>
      <c r="J64" s="50" t="n">
        <f aca="false">Alpha!J84</f>
        <v>0</v>
      </c>
      <c r="K64" s="50" t="n">
        <f aca="false">Alpha!K84</f>
        <v>0</v>
      </c>
      <c r="L64" s="50" t="n">
        <f aca="false">Alpha!L84</f>
        <v>0</v>
      </c>
      <c r="M64" s="50" t="n">
        <f aca="false">Alpha!M84</f>
        <v>0</v>
      </c>
    </row>
    <row r="65" customFormat="false" ht="15" hidden="false" customHeight="false" outlineLevel="0" collapsed="false">
      <c r="A65" s="49" t="s">
        <v>72</v>
      </c>
      <c r="B65" s="50" t="n">
        <f aca="false">Calder!B84</f>
        <v>0</v>
      </c>
      <c r="C65" s="50" t="n">
        <f aca="false">Calder!C84</f>
        <v>0</v>
      </c>
      <c r="D65" s="50" t="n">
        <f aca="false">Calder!D84</f>
        <v>0</v>
      </c>
      <c r="E65" s="50" t="n">
        <f aca="false">Calder!E84</f>
        <v>0</v>
      </c>
      <c r="F65" s="50" t="n">
        <f aca="false">Calder!F84</f>
        <v>0</v>
      </c>
      <c r="G65" s="50" t="n">
        <f aca="false">Calder!G84</f>
        <v>0</v>
      </c>
      <c r="H65" s="50" t="n">
        <f aca="false">Calder!H84</f>
        <v>0</v>
      </c>
      <c r="I65" s="50" t="n">
        <f aca="false">Calder!I84</f>
        <v>0</v>
      </c>
      <c r="J65" s="50" t="n">
        <f aca="false">Calder!J84</f>
        <v>0</v>
      </c>
      <c r="K65" s="50" t="n">
        <f aca="false">Calder!K84</f>
        <v>0</v>
      </c>
      <c r="L65" s="50" t="n">
        <f aca="false">Calder!L84</f>
        <v>0</v>
      </c>
      <c r="M65" s="50" t="n">
        <f aca="false">Calder!M84</f>
        <v>0</v>
      </c>
    </row>
    <row r="66" customFormat="false" ht="15" hidden="false" customHeight="false" outlineLevel="0" collapsed="false">
      <c r="A66" s="49" t="s">
        <v>73</v>
      </c>
      <c r="B66" s="50" t="n">
        <f aca="false">'Repro Decom'!B84</f>
        <v>0</v>
      </c>
      <c r="C66" s="50" t="n">
        <f aca="false">'Repro Decom'!C84</f>
        <v>0</v>
      </c>
      <c r="D66" s="50" t="n">
        <f aca="false">'Repro Decom'!D84</f>
        <v>0</v>
      </c>
      <c r="E66" s="50" t="n">
        <f aca="false">'Repro Decom'!E84</f>
        <v>0</v>
      </c>
      <c r="F66" s="50" t="n">
        <f aca="false">'Repro Decom'!F84</f>
        <v>0</v>
      </c>
      <c r="G66" s="50" t="n">
        <f aca="false">'Repro Decom'!G84</f>
        <v>0</v>
      </c>
      <c r="H66" s="50" t="n">
        <f aca="false">'Repro Decom'!H84</f>
        <v>0</v>
      </c>
      <c r="I66" s="50" t="n">
        <f aca="false">'Repro Decom'!I84</f>
        <v>0</v>
      </c>
      <c r="J66" s="50" t="n">
        <f aca="false">'Repro Decom'!J84</f>
        <v>0</v>
      </c>
      <c r="K66" s="50" t="n">
        <f aca="false">'Repro Decom'!K84</f>
        <v>0</v>
      </c>
      <c r="L66" s="50" t="n">
        <f aca="false">'Repro Decom'!L84</f>
        <v>0</v>
      </c>
      <c r="M66" s="50" t="n">
        <f aca="false">'Repro Decom'!M84</f>
        <v>0</v>
      </c>
    </row>
    <row r="67" customFormat="false" ht="15" hidden="false" customHeight="false" outlineLevel="0" collapsed="false">
      <c r="A67" s="49" t="s">
        <v>74</v>
      </c>
      <c r="B67" s="50" t="n">
        <f aca="false">Windscale!B84</f>
        <v>0</v>
      </c>
      <c r="C67" s="50" t="n">
        <f aca="false">Windscale!C84</f>
        <v>0</v>
      </c>
      <c r="D67" s="50" t="n">
        <f aca="false">Windscale!D84</f>
        <v>0</v>
      </c>
      <c r="E67" s="50" t="n">
        <f aca="false">Windscale!E84</f>
        <v>0</v>
      </c>
      <c r="F67" s="50" t="n">
        <f aca="false">Windscale!F84</f>
        <v>0</v>
      </c>
      <c r="G67" s="50" t="n">
        <f aca="false">Windscale!G84</f>
        <v>0</v>
      </c>
      <c r="H67" s="50" t="n">
        <f aca="false">Windscale!H84</f>
        <v>0</v>
      </c>
      <c r="I67" s="50" t="n">
        <f aca="false">Windscale!I84</f>
        <v>0</v>
      </c>
      <c r="J67" s="50" t="n">
        <f aca="false">Windscale!J84</f>
        <v>0</v>
      </c>
      <c r="K67" s="50" t="n">
        <f aca="false">Windscale!K84</f>
        <v>0</v>
      </c>
      <c r="L67" s="50" t="n">
        <f aca="false">Windscale!L84</f>
        <v>0</v>
      </c>
      <c r="M67" s="50" t="n">
        <f aca="false">Windscale!M84</f>
        <v>0</v>
      </c>
    </row>
    <row r="68" customFormat="false" ht="15" hidden="false" customHeight="false" outlineLevel="0" collapsed="false">
      <c r="A68" s="40" t="s">
        <v>57</v>
      </c>
      <c r="B68" s="51" t="n">
        <f aca="false">SUM(B64:B67)</f>
        <v>0</v>
      </c>
      <c r="C68" s="51" t="n">
        <f aca="false">SUM(C64:C67)</f>
        <v>0</v>
      </c>
      <c r="D68" s="51" t="n">
        <f aca="false">SUM(D64:D67)</f>
        <v>0</v>
      </c>
      <c r="E68" s="51" t="n">
        <f aca="false">SUM(E64:E67)</f>
        <v>0</v>
      </c>
      <c r="F68" s="51" t="n">
        <f aca="false">SUM(F64:F67)</f>
        <v>0</v>
      </c>
      <c r="G68" s="51" t="n">
        <f aca="false">SUM(G64:G67)</f>
        <v>0</v>
      </c>
      <c r="H68" s="51" t="n">
        <f aca="false">SUM(H64:H67)</f>
        <v>0</v>
      </c>
      <c r="I68" s="51" t="n">
        <f aca="false">SUM(I64:I67)</f>
        <v>0</v>
      </c>
      <c r="J68" s="51" t="n">
        <f aca="false">SUM(J64:J67)</f>
        <v>0</v>
      </c>
      <c r="K68" s="51" t="n">
        <f aca="false">SUM(K64:K67)</f>
        <v>0</v>
      </c>
      <c r="L68" s="51" t="n">
        <f aca="false">SUM(L64:L67)</f>
        <v>0</v>
      </c>
      <c r="M68" s="51" t="n">
        <f aca="false">SUM(M64:M67)</f>
        <v>0</v>
      </c>
    </row>
    <row r="70" customFormat="false" ht="15" hidden="false" customHeight="false" outlineLevel="0" collapsed="false">
      <c r="A70" s="34" t="str">
        <f aca="false">"PowerBI data – previous period ("&amp;PrevLbl&amp;")"</f>
        <v>PowerBI data – previous period (P6)</v>
      </c>
      <c r="B70" s="35"/>
      <c r="C70" s="35"/>
      <c r="D70" s="35"/>
      <c r="E70" s="35"/>
      <c r="F70" s="35"/>
      <c r="G70" s="35"/>
      <c r="H70" s="35"/>
      <c r="I70" s="35"/>
      <c r="J70" s="35"/>
      <c r="K70" s="35"/>
      <c r="L70" s="35"/>
      <c r="M70" s="35"/>
    </row>
    <row r="71" customFormat="false" ht="30" hidden="false" customHeight="true" outlineLevel="0" collapsed="false">
      <c r="A71" s="36" t="s">
        <v>56</v>
      </c>
      <c r="B71" s="14" t="s">
        <v>42</v>
      </c>
      <c r="C71" s="14"/>
      <c r="D71" s="14" t="s">
        <v>43</v>
      </c>
      <c r="E71" s="14"/>
      <c r="F71" s="14" t="s">
        <v>44</v>
      </c>
      <c r="G71" s="14"/>
      <c r="H71" s="14" t="s">
        <v>45</v>
      </c>
      <c r="I71" s="14"/>
      <c r="J71" s="14" t="s">
        <v>46</v>
      </c>
      <c r="K71" s="14"/>
      <c r="L71" s="14" t="s">
        <v>47</v>
      </c>
      <c r="M71" s="14"/>
    </row>
    <row r="72" customFormat="false" ht="15" hidden="false" customHeight="false" outlineLevel="0" collapsed="false">
      <c r="A72" s="36"/>
      <c r="B72" s="48" t="s">
        <v>81</v>
      </c>
      <c r="C72" s="48" t="s">
        <v>82</v>
      </c>
      <c r="D72" s="48" t="s">
        <v>81</v>
      </c>
      <c r="E72" s="48" t="s">
        <v>82</v>
      </c>
      <c r="F72" s="48" t="s">
        <v>81</v>
      </c>
      <c r="G72" s="48" t="s">
        <v>82</v>
      </c>
      <c r="H72" s="48" t="s">
        <v>81</v>
      </c>
      <c r="I72" s="48" t="s">
        <v>82</v>
      </c>
      <c r="J72" s="48" t="s">
        <v>81</v>
      </c>
      <c r="K72" s="48" t="s">
        <v>82</v>
      </c>
      <c r="L72" s="48" t="s">
        <v>81</v>
      </c>
      <c r="M72" s="48" t="s">
        <v>82</v>
      </c>
    </row>
    <row r="73" customFormat="false" ht="15" hidden="false" customHeight="false" outlineLevel="0" collapsed="false">
      <c r="A73" s="49" t="s">
        <v>71</v>
      </c>
      <c r="B73" s="50" t="n">
        <f aca="false">Alpha!B97</f>
        <v>0</v>
      </c>
      <c r="C73" s="50" t="n">
        <f aca="false">Alpha!C97</f>
        <v>0</v>
      </c>
      <c r="D73" s="50" t="n">
        <f aca="false">Alpha!D97</f>
        <v>0</v>
      </c>
      <c r="E73" s="50" t="n">
        <f aca="false">Alpha!E97</f>
        <v>0</v>
      </c>
      <c r="F73" s="50" t="n">
        <f aca="false">Alpha!F97</f>
        <v>0</v>
      </c>
      <c r="G73" s="50" t="n">
        <f aca="false">Alpha!G97</f>
        <v>0</v>
      </c>
      <c r="H73" s="50" t="n">
        <f aca="false">Alpha!H97</f>
        <v>0</v>
      </c>
      <c r="I73" s="50" t="n">
        <f aca="false">Alpha!I97</f>
        <v>0</v>
      </c>
      <c r="J73" s="50" t="n">
        <f aca="false">Alpha!J97</f>
        <v>0</v>
      </c>
      <c r="K73" s="50" t="n">
        <f aca="false">Alpha!K97</f>
        <v>0</v>
      </c>
      <c r="L73" s="50" t="n">
        <f aca="false">Alpha!L97</f>
        <v>0</v>
      </c>
      <c r="M73" s="50" t="n">
        <f aca="false">Alpha!M97</f>
        <v>0</v>
      </c>
    </row>
    <row r="74" customFormat="false" ht="15" hidden="false" customHeight="false" outlineLevel="0" collapsed="false">
      <c r="A74" s="49" t="s">
        <v>72</v>
      </c>
      <c r="B74" s="50" t="n">
        <f aca="false">Calder!B97</f>
        <v>0</v>
      </c>
      <c r="C74" s="50" t="n">
        <f aca="false">Calder!C97</f>
        <v>0</v>
      </c>
      <c r="D74" s="50" t="n">
        <f aca="false">Calder!D97</f>
        <v>0</v>
      </c>
      <c r="E74" s="50" t="n">
        <f aca="false">Calder!E97</f>
        <v>0</v>
      </c>
      <c r="F74" s="50" t="n">
        <f aca="false">Calder!F97</f>
        <v>0</v>
      </c>
      <c r="G74" s="50" t="n">
        <f aca="false">Calder!G97</f>
        <v>0</v>
      </c>
      <c r="H74" s="50" t="n">
        <f aca="false">Calder!H97</f>
        <v>0</v>
      </c>
      <c r="I74" s="50" t="n">
        <f aca="false">Calder!I97</f>
        <v>0</v>
      </c>
      <c r="J74" s="50" t="n">
        <f aca="false">Calder!J97</f>
        <v>0</v>
      </c>
      <c r="K74" s="50" t="n">
        <f aca="false">Calder!K97</f>
        <v>0</v>
      </c>
      <c r="L74" s="50" t="n">
        <f aca="false">Calder!L97</f>
        <v>0</v>
      </c>
      <c r="M74" s="50" t="n">
        <f aca="false">Calder!M97</f>
        <v>0</v>
      </c>
    </row>
    <row r="75" customFormat="false" ht="15" hidden="false" customHeight="false" outlineLevel="0" collapsed="false">
      <c r="A75" s="49" t="s">
        <v>73</v>
      </c>
      <c r="B75" s="50" t="n">
        <f aca="false">'Repro Decom'!B97</f>
        <v>0</v>
      </c>
      <c r="C75" s="50" t="n">
        <f aca="false">'Repro Decom'!C97</f>
        <v>0</v>
      </c>
      <c r="D75" s="50" t="n">
        <f aca="false">'Repro Decom'!D97</f>
        <v>0</v>
      </c>
      <c r="E75" s="50" t="n">
        <f aca="false">'Repro Decom'!E97</f>
        <v>0</v>
      </c>
      <c r="F75" s="50" t="n">
        <f aca="false">'Repro Decom'!F97</f>
        <v>0</v>
      </c>
      <c r="G75" s="50" t="n">
        <f aca="false">'Repro Decom'!G97</f>
        <v>0</v>
      </c>
      <c r="H75" s="50" t="n">
        <f aca="false">'Repro Decom'!H97</f>
        <v>0</v>
      </c>
      <c r="I75" s="50" t="n">
        <f aca="false">'Repro Decom'!I97</f>
        <v>0</v>
      </c>
      <c r="J75" s="50" t="n">
        <f aca="false">'Repro Decom'!J97</f>
        <v>0</v>
      </c>
      <c r="K75" s="50" t="n">
        <f aca="false">'Repro Decom'!K97</f>
        <v>0</v>
      </c>
      <c r="L75" s="50" t="n">
        <f aca="false">'Repro Decom'!L97</f>
        <v>0</v>
      </c>
      <c r="M75" s="50" t="n">
        <f aca="false">'Repro Decom'!M97</f>
        <v>0</v>
      </c>
    </row>
    <row r="76" customFormat="false" ht="15" hidden="false" customHeight="false" outlineLevel="0" collapsed="false">
      <c r="A76" s="49" t="s">
        <v>74</v>
      </c>
      <c r="B76" s="50" t="n">
        <f aca="false">Windscale!B97</f>
        <v>0</v>
      </c>
      <c r="C76" s="50" t="n">
        <f aca="false">Windscale!C97</f>
        <v>0</v>
      </c>
      <c r="D76" s="50" t="n">
        <f aca="false">Windscale!D97</f>
        <v>0</v>
      </c>
      <c r="E76" s="50" t="n">
        <f aca="false">Windscale!E97</f>
        <v>0</v>
      </c>
      <c r="F76" s="50" t="n">
        <f aca="false">Windscale!F97</f>
        <v>0</v>
      </c>
      <c r="G76" s="50" t="n">
        <f aca="false">Windscale!G97</f>
        <v>0</v>
      </c>
      <c r="H76" s="50" t="n">
        <f aca="false">Windscale!H97</f>
        <v>0</v>
      </c>
      <c r="I76" s="50" t="n">
        <f aca="false">Windscale!I97</f>
        <v>0</v>
      </c>
      <c r="J76" s="50" t="n">
        <f aca="false">Windscale!J97</f>
        <v>0</v>
      </c>
      <c r="K76" s="50" t="n">
        <f aca="false">Windscale!K97</f>
        <v>0</v>
      </c>
      <c r="L76" s="50" t="n">
        <f aca="false">Windscale!L97</f>
        <v>0</v>
      </c>
      <c r="M76" s="50" t="n">
        <f aca="false">Windscale!M97</f>
        <v>0</v>
      </c>
    </row>
    <row r="77" customFormat="false" ht="15" hidden="false" customHeight="false" outlineLevel="0" collapsed="false">
      <c r="A77" s="40" t="s">
        <v>57</v>
      </c>
      <c r="B77" s="51" t="n">
        <f aca="false">SUM(B73:B76)</f>
        <v>0</v>
      </c>
      <c r="C77" s="51" t="n">
        <f aca="false">SUM(C73:C76)</f>
        <v>0</v>
      </c>
      <c r="D77" s="51" t="n">
        <f aca="false">SUM(D73:D76)</f>
        <v>0</v>
      </c>
      <c r="E77" s="51" t="n">
        <f aca="false">SUM(E73:E76)</f>
        <v>0</v>
      </c>
      <c r="F77" s="51" t="n">
        <f aca="false">SUM(F73:F76)</f>
        <v>0</v>
      </c>
      <c r="G77" s="51" t="n">
        <f aca="false">SUM(G73:G76)</f>
        <v>0</v>
      </c>
      <c r="H77" s="51" t="n">
        <f aca="false">SUM(H73:H76)</f>
        <v>0</v>
      </c>
      <c r="I77" s="51" t="n">
        <f aca="false">SUM(I73:I76)</f>
        <v>0</v>
      </c>
      <c r="J77" s="51" t="n">
        <f aca="false">SUM(J73:J76)</f>
        <v>0</v>
      </c>
      <c r="K77" s="51" t="n">
        <f aca="false">SUM(K73:K76)</f>
        <v>0</v>
      </c>
      <c r="L77" s="51" t="n">
        <f aca="false">SUM(L73:L76)</f>
        <v>0</v>
      </c>
      <c r="M77" s="51" t="n">
        <f aca="false">SUM(M73:M76)</f>
        <v>0</v>
      </c>
    </row>
    <row r="79" customFormat="false" ht="15" hidden="false" customHeight="false" outlineLevel="0" collapsed="false">
      <c r="A79" s="34" t="str">
        <f aca="false">"Quality Performance – current period ("&amp;CurLbl&amp;")"</f>
        <v>Quality Performance – current period (P7)</v>
      </c>
      <c r="B79" s="35"/>
      <c r="C79" s="35"/>
      <c r="D79" s="35"/>
      <c r="E79" s="35"/>
      <c r="F79" s="35"/>
      <c r="G79" s="35"/>
      <c r="H79" s="35"/>
      <c r="I79" s="35"/>
      <c r="J79" s="35"/>
      <c r="K79" s="35"/>
      <c r="L79" s="35"/>
      <c r="M79" s="35"/>
    </row>
    <row r="80" customFormat="false" ht="30" hidden="false" customHeight="true" outlineLevel="0" collapsed="false">
      <c r="A80" s="36" t="s">
        <v>56</v>
      </c>
      <c r="B80" s="14" t="s">
        <v>50</v>
      </c>
      <c r="C80" s="14"/>
      <c r="D80" s="14" t="s">
        <v>51</v>
      </c>
      <c r="E80" s="14"/>
      <c r="F80" s="14" t="s">
        <v>52</v>
      </c>
      <c r="G80" s="14"/>
      <c r="H80" s="14" t="s">
        <v>53</v>
      </c>
      <c r="I80" s="14"/>
    </row>
    <row r="81" customFormat="false" ht="15" hidden="false" customHeight="true" outlineLevel="0" collapsed="false">
      <c r="A81" s="36"/>
      <c r="B81" s="48" t="s">
        <v>83</v>
      </c>
      <c r="C81" s="48"/>
      <c r="D81" s="48" t="s">
        <v>81</v>
      </c>
      <c r="E81" s="48" t="s">
        <v>82</v>
      </c>
      <c r="F81" s="48" t="s">
        <v>81</v>
      </c>
      <c r="G81" s="48" t="s">
        <v>82</v>
      </c>
      <c r="H81" s="48" t="s">
        <v>81</v>
      </c>
      <c r="I81" s="48" t="s">
        <v>82</v>
      </c>
    </row>
    <row r="82" customFormat="false" ht="15" hidden="false" customHeight="false" outlineLevel="0" collapsed="false">
      <c r="A82" s="49" t="s">
        <v>71</v>
      </c>
      <c r="B82" s="50" t="str">
        <f aca="false">Alpha!B110</f>
        <v/>
      </c>
      <c r="C82" s="50"/>
      <c r="D82" s="50" t="n">
        <f aca="false">Alpha!D110</f>
        <v>0</v>
      </c>
      <c r="E82" s="50" t="n">
        <f aca="false">Alpha!E110</f>
        <v>0</v>
      </c>
      <c r="F82" s="50" t="n">
        <f aca="false">Alpha!F110</f>
        <v>0</v>
      </c>
      <c r="G82" s="50" t="n">
        <f aca="false">Alpha!G110</f>
        <v>0</v>
      </c>
      <c r="H82" s="50" t="n">
        <f aca="false">Alpha!H110</f>
        <v>0</v>
      </c>
      <c r="I82" s="50" t="n">
        <f aca="false">Alpha!I110</f>
        <v>0</v>
      </c>
    </row>
    <row r="83" customFormat="false" ht="15" hidden="false" customHeight="false" outlineLevel="0" collapsed="false">
      <c r="A83" s="49" t="s">
        <v>72</v>
      </c>
      <c r="B83" s="50" t="str">
        <f aca="false">Calder!B110</f>
        <v/>
      </c>
      <c r="C83" s="50"/>
      <c r="D83" s="50" t="n">
        <f aca="false">Calder!D110</f>
        <v>0</v>
      </c>
      <c r="E83" s="50" t="n">
        <f aca="false">Calder!E110</f>
        <v>0</v>
      </c>
      <c r="F83" s="50" t="n">
        <f aca="false">Calder!F110</f>
        <v>0</v>
      </c>
      <c r="G83" s="50" t="n">
        <f aca="false">Calder!G110</f>
        <v>0</v>
      </c>
      <c r="H83" s="50" t="n">
        <f aca="false">Calder!H110</f>
        <v>0</v>
      </c>
      <c r="I83" s="50" t="n">
        <f aca="false">Calder!I110</f>
        <v>0</v>
      </c>
    </row>
    <row r="84" customFormat="false" ht="15" hidden="false" customHeight="false" outlineLevel="0" collapsed="false">
      <c r="A84" s="49" t="s">
        <v>73</v>
      </c>
      <c r="B84" s="50" t="str">
        <f aca="false">'Repro Decom'!B110</f>
        <v/>
      </c>
      <c r="C84" s="50"/>
      <c r="D84" s="50" t="n">
        <f aca="false">'Repro Decom'!D110</f>
        <v>0</v>
      </c>
      <c r="E84" s="50" t="n">
        <f aca="false">'Repro Decom'!E110</f>
        <v>0</v>
      </c>
      <c r="F84" s="50" t="n">
        <f aca="false">'Repro Decom'!F110</f>
        <v>0</v>
      </c>
      <c r="G84" s="50" t="n">
        <f aca="false">'Repro Decom'!G110</f>
        <v>0</v>
      </c>
      <c r="H84" s="50" t="n">
        <f aca="false">'Repro Decom'!H110</f>
        <v>0</v>
      </c>
      <c r="I84" s="50" t="n">
        <f aca="false">'Repro Decom'!I110</f>
        <v>0</v>
      </c>
    </row>
    <row r="85" customFormat="false" ht="15" hidden="false" customHeight="false" outlineLevel="0" collapsed="false">
      <c r="A85" s="49" t="s">
        <v>74</v>
      </c>
      <c r="B85" s="50" t="str">
        <f aca="false">Windscale!B110</f>
        <v/>
      </c>
      <c r="C85" s="50"/>
      <c r="D85" s="50" t="n">
        <f aca="false">Windscale!D110</f>
        <v>0</v>
      </c>
      <c r="E85" s="50" t="n">
        <f aca="false">Windscale!E110</f>
        <v>0</v>
      </c>
      <c r="F85" s="50" t="n">
        <f aca="false">Windscale!F110</f>
        <v>0</v>
      </c>
      <c r="G85" s="50" t="n">
        <f aca="false">Windscale!G110</f>
        <v>0</v>
      </c>
      <c r="H85" s="50" t="n">
        <f aca="false">Windscale!H110</f>
        <v>0</v>
      </c>
      <c r="I85" s="50" t="n">
        <f aca="false">Windscale!I110</f>
        <v>0</v>
      </c>
    </row>
    <row r="86" customFormat="false" ht="15" hidden="false" customHeight="false" outlineLevel="0" collapsed="false">
      <c r="A86" s="40" t="s">
        <v>57</v>
      </c>
      <c r="B86" s="51" t="str">
        <f aca="false">IF(COUNT(B82:B85)=0,"",SUM(B82:B85))</f>
        <v/>
      </c>
      <c r="C86" s="51"/>
      <c r="D86" s="51" t="n">
        <f aca="false">SUM(D82:D85)</f>
        <v>0</v>
      </c>
      <c r="E86" s="51" t="n">
        <f aca="false">SUM(E82:E85)</f>
        <v>0</v>
      </c>
      <c r="F86" s="51" t="n">
        <f aca="false">SUM(F82:F85)</f>
        <v>0</v>
      </c>
      <c r="G86" s="51" t="n">
        <f aca="false">SUM(G82:G85)</f>
        <v>0</v>
      </c>
      <c r="H86" s="51" t="n">
        <f aca="false">SUM(H82:H85)</f>
        <v>0</v>
      </c>
      <c r="I86" s="51" t="n">
        <f aca="false">SUM(I82:I85)</f>
        <v>0</v>
      </c>
    </row>
  </sheetData>
  <mergeCells count="158">
    <mergeCell ref="A2:H2"/>
    <mergeCell ref="I2:M2"/>
    <mergeCell ref="A3:M3"/>
    <mergeCell ref="B5:C5"/>
    <mergeCell ref="D5:E5"/>
    <mergeCell ref="F5:G5"/>
    <mergeCell ref="H5:I5"/>
    <mergeCell ref="J5:K5"/>
    <mergeCell ref="L5:M5"/>
    <mergeCell ref="B6:C6"/>
    <mergeCell ref="D6:E6"/>
    <mergeCell ref="F6:G6"/>
    <mergeCell ref="H6:I6"/>
    <mergeCell ref="J6:K6"/>
    <mergeCell ref="L6:M6"/>
    <mergeCell ref="B7:C7"/>
    <mergeCell ref="D7:E7"/>
    <mergeCell ref="F7:G7"/>
    <mergeCell ref="H7:I7"/>
    <mergeCell ref="J7:K7"/>
    <mergeCell ref="L7:M7"/>
    <mergeCell ref="B8:C8"/>
    <mergeCell ref="D8:E8"/>
    <mergeCell ref="F8:G8"/>
    <mergeCell ref="H8:I8"/>
    <mergeCell ref="J8:K8"/>
    <mergeCell ref="L8:M8"/>
    <mergeCell ref="B10:C10"/>
    <mergeCell ref="D10:E10"/>
    <mergeCell ref="F10:G10"/>
    <mergeCell ref="H10:I10"/>
    <mergeCell ref="J10:K10"/>
    <mergeCell ref="L10:M10"/>
    <mergeCell ref="B11:C11"/>
    <mergeCell ref="D11:E11"/>
    <mergeCell ref="F11:G11"/>
    <mergeCell ref="H11:I11"/>
    <mergeCell ref="J11:K11"/>
    <mergeCell ref="L11:M11"/>
    <mergeCell ref="B12:C12"/>
    <mergeCell ref="D12:E12"/>
    <mergeCell ref="F12:G12"/>
    <mergeCell ref="H12:I12"/>
    <mergeCell ref="J12:K12"/>
    <mergeCell ref="L12:M12"/>
    <mergeCell ref="B13:C13"/>
    <mergeCell ref="D13:E13"/>
    <mergeCell ref="F13:G13"/>
    <mergeCell ref="H13:I13"/>
    <mergeCell ref="J13:K13"/>
    <mergeCell ref="L13:M13"/>
    <mergeCell ref="B16:C16"/>
    <mergeCell ref="D16:E16"/>
    <mergeCell ref="F16:G16"/>
    <mergeCell ref="H16:I16"/>
    <mergeCell ref="J16:M16"/>
    <mergeCell ref="B17:C17"/>
    <mergeCell ref="D17:E17"/>
    <mergeCell ref="F17:G17"/>
    <mergeCell ref="H17:I17"/>
    <mergeCell ref="J17:M20"/>
    <mergeCell ref="B18:C18"/>
    <mergeCell ref="D18:E18"/>
    <mergeCell ref="F18:G18"/>
    <mergeCell ref="H18:I18"/>
    <mergeCell ref="B19:C19"/>
    <mergeCell ref="D19:E19"/>
    <mergeCell ref="F19:G19"/>
    <mergeCell ref="H19:I19"/>
    <mergeCell ref="B20:C20"/>
    <mergeCell ref="D20:E20"/>
    <mergeCell ref="F20:G20"/>
    <mergeCell ref="H20:I20"/>
    <mergeCell ref="B24:C24"/>
    <mergeCell ref="D24:E24"/>
    <mergeCell ref="F24:G24"/>
    <mergeCell ref="H24:I24"/>
    <mergeCell ref="J24:K24"/>
    <mergeCell ref="L24:M24"/>
    <mergeCell ref="B31:C31"/>
    <mergeCell ref="D31:E31"/>
    <mergeCell ref="F31:G31"/>
    <mergeCell ref="H31:I31"/>
    <mergeCell ref="B32:C32"/>
    <mergeCell ref="B33:C33"/>
    <mergeCell ref="B34:C34"/>
    <mergeCell ref="B35:C35"/>
    <mergeCell ref="B36:C36"/>
    <mergeCell ref="A39:M39"/>
    <mergeCell ref="B40:C40"/>
    <mergeCell ref="D40:E40"/>
    <mergeCell ref="F40:G40"/>
    <mergeCell ref="H40:I40"/>
    <mergeCell ref="J40:K40"/>
    <mergeCell ref="L40:M40"/>
    <mergeCell ref="B41:C41"/>
    <mergeCell ref="D41:E41"/>
    <mergeCell ref="F41:G41"/>
    <mergeCell ref="H41:I41"/>
    <mergeCell ref="J41:K41"/>
    <mergeCell ref="L41:M41"/>
    <mergeCell ref="B42:C42"/>
    <mergeCell ref="D42:E42"/>
    <mergeCell ref="F42:G42"/>
    <mergeCell ref="H42:I42"/>
    <mergeCell ref="J42:K42"/>
    <mergeCell ref="L42:M42"/>
    <mergeCell ref="B43:M43"/>
    <mergeCell ref="B44:M44"/>
    <mergeCell ref="B47:M47"/>
    <mergeCell ref="B48:M48"/>
    <mergeCell ref="B49:M49"/>
    <mergeCell ref="B50:M50"/>
    <mergeCell ref="B53:D53"/>
    <mergeCell ref="E53:G53"/>
    <mergeCell ref="H53:J53"/>
    <mergeCell ref="K53:M53"/>
    <mergeCell ref="B54:D54"/>
    <mergeCell ref="E54:G54"/>
    <mergeCell ref="H54:J54"/>
    <mergeCell ref="K54:M54"/>
    <mergeCell ref="B55:D55"/>
    <mergeCell ref="E55:G55"/>
    <mergeCell ref="H55:J55"/>
    <mergeCell ref="K55:M55"/>
    <mergeCell ref="B56:D56"/>
    <mergeCell ref="E56:G56"/>
    <mergeCell ref="H56:J56"/>
    <mergeCell ref="K56:M56"/>
    <mergeCell ref="B57:D57"/>
    <mergeCell ref="E57:G57"/>
    <mergeCell ref="H57:J57"/>
    <mergeCell ref="K57:M57"/>
    <mergeCell ref="A62:A63"/>
    <mergeCell ref="B62:C62"/>
    <mergeCell ref="D62:E62"/>
    <mergeCell ref="F62:G62"/>
    <mergeCell ref="H62:I62"/>
    <mergeCell ref="J62:K62"/>
    <mergeCell ref="L62:M62"/>
    <mergeCell ref="A71:A72"/>
    <mergeCell ref="B71:C71"/>
    <mergeCell ref="D71:E71"/>
    <mergeCell ref="F71:G71"/>
    <mergeCell ref="H71:I71"/>
    <mergeCell ref="J71:K71"/>
    <mergeCell ref="L71:M71"/>
    <mergeCell ref="A80:A81"/>
    <mergeCell ref="B80:C80"/>
    <mergeCell ref="D80:E80"/>
    <mergeCell ref="F80:G80"/>
    <mergeCell ref="H80:I80"/>
    <mergeCell ref="B81:C81"/>
    <mergeCell ref="B82:C82"/>
    <mergeCell ref="B83:C83"/>
    <mergeCell ref="B84:C84"/>
    <mergeCell ref="B85:C85"/>
    <mergeCell ref="B86:C86"/>
  </mergeCells>
  <conditionalFormatting sqref="B64">
    <cfRule type="expression" priority="2" aboveAverage="0" equalAverage="0" bottom="0" percent="0" rank="0" text="" dxfId="0">
      <formula>AND(ISNUMBER(B64),ISNUMBER(C64),B64&gt;C64)</formula>
    </cfRule>
  </conditionalFormatting>
  <conditionalFormatting sqref="D64">
    <cfRule type="expression" priority="3" aboveAverage="0" equalAverage="0" bottom="0" percent="0" rank="0" text="" dxfId="0">
      <formula>AND(ISNUMBER(D64),ISNUMBER(E64),D64&gt;E64)</formula>
    </cfRule>
  </conditionalFormatting>
  <conditionalFormatting sqref="F64">
    <cfRule type="expression" priority="4" aboveAverage="0" equalAverage="0" bottom="0" percent="0" rank="0" text="" dxfId="0">
      <formula>AND(ISNUMBER(F64),ISNUMBER(G64),F64&gt;G64)</formula>
    </cfRule>
  </conditionalFormatting>
  <conditionalFormatting sqref="H64">
    <cfRule type="expression" priority="5" aboveAverage="0" equalAverage="0" bottom="0" percent="0" rank="0" text="" dxfId="0">
      <formula>AND(ISNUMBER(H64),ISNUMBER(I64),H64&gt;I64)</formula>
    </cfRule>
  </conditionalFormatting>
  <conditionalFormatting sqref="J64">
    <cfRule type="expression" priority="6" aboveAverage="0" equalAverage="0" bottom="0" percent="0" rank="0" text="" dxfId="0">
      <formula>AND(ISNUMBER(J64),ISNUMBER(K64),J64&gt;K64)</formula>
    </cfRule>
  </conditionalFormatting>
  <conditionalFormatting sqref="L64">
    <cfRule type="expression" priority="7" aboveAverage="0" equalAverage="0" bottom="0" percent="0" rank="0" text="" dxfId="0">
      <formula>AND(ISNUMBER(L64),ISNUMBER(M64),L64&gt;M64)</formula>
    </cfRule>
  </conditionalFormatting>
  <conditionalFormatting sqref="B65">
    <cfRule type="expression" priority="8" aboveAverage="0" equalAverage="0" bottom="0" percent="0" rank="0" text="" dxfId="0">
      <formula>AND(ISNUMBER(B65),ISNUMBER(C65),B65&gt;C65)</formula>
    </cfRule>
  </conditionalFormatting>
  <conditionalFormatting sqref="D65">
    <cfRule type="expression" priority="9" aboveAverage="0" equalAverage="0" bottom="0" percent="0" rank="0" text="" dxfId="0">
      <formula>AND(ISNUMBER(D65),ISNUMBER(E65),D65&gt;E65)</formula>
    </cfRule>
  </conditionalFormatting>
  <conditionalFormatting sqref="F65">
    <cfRule type="expression" priority="10" aboveAverage="0" equalAverage="0" bottom="0" percent="0" rank="0" text="" dxfId="0">
      <formula>AND(ISNUMBER(F65),ISNUMBER(G65),F65&gt;G65)</formula>
    </cfRule>
  </conditionalFormatting>
  <conditionalFormatting sqref="H65">
    <cfRule type="expression" priority="11" aboveAverage="0" equalAverage="0" bottom="0" percent="0" rank="0" text="" dxfId="0">
      <formula>AND(ISNUMBER(H65),ISNUMBER(I65),H65&gt;I65)</formula>
    </cfRule>
  </conditionalFormatting>
  <conditionalFormatting sqref="J65">
    <cfRule type="expression" priority="12" aboveAverage="0" equalAverage="0" bottom="0" percent="0" rank="0" text="" dxfId="0">
      <formula>AND(ISNUMBER(J65),ISNUMBER(K65),J65&gt;K65)</formula>
    </cfRule>
  </conditionalFormatting>
  <conditionalFormatting sqref="L65">
    <cfRule type="expression" priority="13" aboveAverage="0" equalAverage="0" bottom="0" percent="0" rank="0" text="" dxfId="0">
      <formula>AND(ISNUMBER(L65),ISNUMBER(M65),L65&gt;M65)</formula>
    </cfRule>
  </conditionalFormatting>
  <conditionalFormatting sqref="B66">
    <cfRule type="expression" priority="14" aboveAverage="0" equalAverage="0" bottom="0" percent="0" rank="0" text="" dxfId="0">
      <formula>AND(ISNUMBER(B66),ISNUMBER(C66),B66&gt;C66)</formula>
    </cfRule>
  </conditionalFormatting>
  <conditionalFormatting sqref="D66">
    <cfRule type="expression" priority="15" aboveAverage="0" equalAverage="0" bottom="0" percent="0" rank="0" text="" dxfId="0">
      <formula>AND(ISNUMBER(D66),ISNUMBER(E66),D66&gt;E66)</formula>
    </cfRule>
  </conditionalFormatting>
  <conditionalFormatting sqref="F66">
    <cfRule type="expression" priority="16" aboveAverage="0" equalAverage="0" bottom="0" percent="0" rank="0" text="" dxfId="0">
      <formula>AND(ISNUMBER(F66),ISNUMBER(G66),F66&gt;G66)</formula>
    </cfRule>
  </conditionalFormatting>
  <conditionalFormatting sqref="H66">
    <cfRule type="expression" priority="17" aboveAverage="0" equalAverage="0" bottom="0" percent="0" rank="0" text="" dxfId="0">
      <formula>AND(ISNUMBER(H66),ISNUMBER(I66),H66&gt;I66)</formula>
    </cfRule>
  </conditionalFormatting>
  <conditionalFormatting sqref="J66">
    <cfRule type="expression" priority="18" aboveAverage="0" equalAverage="0" bottom="0" percent="0" rank="0" text="" dxfId="0">
      <formula>AND(ISNUMBER(J66),ISNUMBER(K66),J66&gt;K66)</formula>
    </cfRule>
  </conditionalFormatting>
  <conditionalFormatting sqref="L66">
    <cfRule type="expression" priority="19" aboveAverage="0" equalAverage="0" bottom="0" percent="0" rank="0" text="" dxfId="0">
      <formula>AND(ISNUMBER(L66),ISNUMBER(M66),L66&gt;M66)</formula>
    </cfRule>
  </conditionalFormatting>
  <conditionalFormatting sqref="B67">
    <cfRule type="expression" priority="20" aboveAverage="0" equalAverage="0" bottom="0" percent="0" rank="0" text="" dxfId="0">
      <formula>AND(ISNUMBER(B67),ISNUMBER(C67),B67&gt;C67)</formula>
    </cfRule>
  </conditionalFormatting>
  <conditionalFormatting sqref="D67">
    <cfRule type="expression" priority="21" aboveAverage="0" equalAverage="0" bottom="0" percent="0" rank="0" text="" dxfId="0">
      <formula>AND(ISNUMBER(D67),ISNUMBER(E67),D67&gt;E67)</formula>
    </cfRule>
  </conditionalFormatting>
  <conditionalFormatting sqref="F67">
    <cfRule type="expression" priority="22" aboveAverage="0" equalAverage="0" bottom="0" percent="0" rank="0" text="" dxfId="0">
      <formula>AND(ISNUMBER(F67),ISNUMBER(G67),F67&gt;G67)</formula>
    </cfRule>
  </conditionalFormatting>
  <conditionalFormatting sqref="H67">
    <cfRule type="expression" priority="23" aboveAverage="0" equalAverage="0" bottom="0" percent="0" rank="0" text="" dxfId="0">
      <formula>AND(ISNUMBER(H67),ISNUMBER(I67),H67&gt;I67)</formula>
    </cfRule>
  </conditionalFormatting>
  <conditionalFormatting sqref="J67">
    <cfRule type="expression" priority="24" aboveAverage="0" equalAverage="0" bottom="0" percent="0" rank="0" text="" dxfId="0">
      <formula>AND(ISNUMBER(J67),ISNUMBER(K67),J67&gt;K67)</formula>
    </cfRule>
  </conditionalFormatting>
  <conditionalFormatting sqref="L67">
    <cfRule type="expression" priority="25" aboveAverage="0" equalAverage="0" bottom="0" percent="0" rank="0" text="" dxfId="0">
      <formula>AND(ISNUMBER(L67),ISNUMBER(M67),L67&gt;M67)</formula>
    </cfRule>
  </conditionalFormatting>
  <conditionalFormatting sqref="B73">
    <cfRule type="expression" priority="26" aboveAverage="0" equalAverage="0" bottom="0" percent="0" rank="0" text="" dxfId="0">
      <formula>AND(ISNUMBER(B73),ISNUMBER(C73),B73&gt;C73)</formula>
    </cfRule>
  </conditionalFormatting>
  <conditionalFormatting sqref="D73">
    <cfRule type="expression" priority="27" aboveAverage="0" equalAverage="0" bottom="0" percent="0" rank="0" text="" dxfId="0">
      <formula>AND(ISNUMBER(D73),ISNUMBER(E73),D73&gt;E73)</formula>
    </cfRule>
  </conditionalFormatting>
  <conditionalFormatting sqref="F73">
    <cfRule type="expression" priority="28" aboveAverage="0" equalAverage="0" bottom="0" percent="0" rank="0" text="" dxfId="0">
      <formula>AND(ISNUMBER(F73),ISNUMBER(G73),F73&gt;G73)</formula>
    </cfRule>
  </conditionalFormatting>
  <conditionalFormatting sqref="H73">
    <cfRule type="expression" priority="29" aboveAverage="0" equalAverage="0" bottom="0" percent="0" rank="0" text="" dxfId="0">
      <formula>AND(ISNUMBER(H73),ISNUMBER(I73),H73&gt;I73)</formula>
    </cfRule>
  </conditionalFormatting>
  <conditionalFormatting sqref="J73">
    <cfRule type="expression" priority="30" aboveAverage="0" equalAverage="0" bottom="0" percent="0" rank="0" text="" dxfId="0">
      <formula>AND(ISNUMBER(J73),ISNUMBER(K73),J73&gt;K73)</formula>
    </cfRule>
  </conditionalFormatting>
  <conditionalFormatting sqref="L73">
    <cfRule type="expression" priority="31" aboveAverage="0" equalAverage="0" bottom="0" percent="0" rank="0" text="" dxfId="0">
      <formula>AND(ISNUMBER(L73),ISNUMBER(M73),L73&gt;M73)</formula>
    </cfRule>
  </conditionalFormatting>
  <conditionalFormatting sqref="B74">
    <cfRule type="expression" priority="32" aboveAverage="0" equalAverage="0" bottom="0" percent="0" rank="0" text="" dxfId="0">
      <formula>AND(ISNUMBER(B74),ISNUMBER(C74),B74&gt;C74)</formula>
    </cfRule>
  </conditionalFormatting>
  <conditionalFormatting sqref="D74">
    <cfRule type="expression" priority="33" aboveAverage="0" equalAverage="0" bottom="0" percent="0" rank="0" text="" dxfId="0">
      <formula>AND(ISNUMBER(D74),ISNUMBER(E74),D74&gt;E74)</formula>
    </cfRule>
  </conditionalFormatting>
  <conditionalFormatting sqref="F74">
    <cfRule type="expression" priority="34" aboveAverage="0" equalAverage="0" bottom="0" percent="0" rank="0" text="" dxfId="0">
      <formula>AND(ISNUMBER(F74),ISNUMBER(G74),F74&gt;G74)</formula>
    </cfRule>
  </conditionalFormatting>
  <conditionalFormatting sqref="H74">
    <cfRule type="expression" priority="35" aboveAverage="0" equalAverage="0" bottom="0" percent="0" rank="0" text="" dxfId="0">
      <formula>AND(ISNUMBER(H74),ISNUMBER(I74),H74&gt;I74)</formula>
    </cfRule>
  </conditionalFormatting>
  <conditionalFormatting sqref="J74">
    <cfRule type="expression" priority="36" aboveAverage="0" equalAverage="0" bottom="0" percent="0" rank="0" text="" dxfId="0">
      <formula>AND(ISNUMBER(J74),ISNUMBER(K74),J74&gt;K74)</formula>
    </cfRule>
  </conditionalFormatting>
  <conditionalFormatting sqref="L74">
    <cfRule type="expression" priority="37" aboveAverage="0" equalAverage="0" bottom="0" percent="0" rank="0" text="" dxfId="0">
      <formula>AND(ISNUMBER(L74),ISNUMBER(M74),L74&gt;M74)</formula>
    </cfRule>
  </conditionalFormatting>
  <conditionalFormatting sqref="B75">
    <cfRule type="expression" priority="38" aboveAverage="0" equalAverage="0" bottom="0" percent="0" rank="0" text="" dxfId="0">
      <formula>AND(ISNUMBER(B75),ISNUMBER(C75),B75&gt;C75)</formula>
    </cfRule>
  </conditionalFormatting>
  <conditionalFormatting sqref="D75">
    <cfRule type="expression" priority="39" aboveAverage="0" equalAverage="0" bottom="0" percent="0" rank="0" text="" dxfId="0">
      <formula>AND(ISNUMBER(D75),ISNUMBER(E75),D75&gt;E75)</formula>
    </cfRule>
  </conditionalFormatting>
  <conditionalFormatting sqref="F75">
    <cfRule type="expression" priority="40" aboveAverage="0" equalAverage="0" bottom="0" percent="0" rank="0" text="" dxfId="0">
      <formula>AND(ISNUMBER(F75),ISNUMBER(G75),F75&gt;G75)</formula>
    </cfRule>
  </conditionalFormatting>
  <conditionalFormatting sqref="H75">
    <cfRule type="expression" priority="41" aboveAverage="0" equalAverage="0" bottom="0" percent="0" rank="0" text="" dxfId="0">
      <formula>AND(ISNUMBER(H75),ISNUMBER(I75),H75&gt;I75)</formula>
    </cfRule>
  </conditionalFormatting>
  <conditionalFormatting sqref="J75">
    <cfRule type="expression" priority="42" aboveAverage="0" equalAverage="0" bottom="0" percent="0" rank="0" text="" dxfId="0">
      <formula>AND(ISNUMBER(J75),ISNUMBER(K75),J75&gt;K75)</formula>
    </cfRule>
  </conditionalFormatting>
  <conditionalFormatting sqref="L75">
    <cfRule type="expression" priority="43" aboveAverage="0" equalAverage="0" bottom="0" percent="0" rank="0" text="" dxfId="0">
      <formula>AND(ISNUMBER(L75),ISNUMBER(M75),L75&gt;M75)</formula>
    </cfRule>
  </conditionalFormatting>
  <conditionalFormatting sqref="B76">
    <cfRule type="expression" priority="44" aboveAverage="0" equalAverage="0" bottom="0" percent="0" rank="0" text="" dxfId="0">
      <formula>AND(ISNUMBER(B76),ISNUMBER(C76),B76&gt;C76)</formula>
    </cfRule>
  </conditionalFormatting>
  <conditionalFormatting sqref="D76">
    <cfRule type="expression" priority="45" aboveAverage="0" equalAverage="0" bottom="0" percent="0" rank="0" text="" dxfId="0">
      <formula>AND(ISNUMBER(D76),ISNUMBER(E76),D76&gt;E76)</formula>
    </cfRule>
  </conditionalFormatting>
  <conditionalFormatting sqref="F76">
    <cfRule type="expression" priority="46" aboveAverage="0" equalAverage="0" bottom="0" percent="0" rank="0" text="" dxfId="0">
      <formula>AND(ISNUMBER(F76),ISNUMBER(G76),F76&gt;G76)</formula>
    </cfRule>
  </conditionalFormatting>
  <conditionalFormatting sqref="H76">
    <cfRule type="expression" priority="47" aboveAverage="0" equalAverage="0" bottom="0" percent="0" rank="0" text="" dxfId="0">
      <formula>AND(ISNUMBER(H76),ISNUMBER(I76),H76&gt;I76)</formula>
    </cfRule>
  </conditionalFormatting>
  <conditionalFormatting sqref="J76">
    <cfRule type="expression" priority="48" aboveAverage="0" equalAverage="0" bottom="0" percent="0" rank="0" text="" dxfId="0">
      <formula>AND(ISNUMBER(J76),ISNUMBER(K76),J76&gt;K76)</formula>
    </cfRule>
  </conditionalFormatting>
  <conditionalFormatting sqref="L76">
    <cfRule type="expression" priority="49" aboveAverage="0" equalAverage="0" bottom="0" percent="0" rank="0" text="" dxfId="0">
      <formula>AND(ISNUMBER(L76),ISNUMBER(M76),L76&gt;M76)</formula>
    </cfRule>
  </conditionalFormatting>
  <conditionalFormatting sqref="D82">
    <cfRule type="expression" priority="50" aboveAverage="0" equalAverage="0" bottom="0" percent="0" rank="0" text="" dxfId="0">
      <formula>AND(ISNUMBER(D82),ISNUMBER(E82),D82&gt;E82)</formula>
    </cfRule>
  </conditionalFormatting>
  <conditionalFormatting sqref="F82">
    <cfRule type="expression" priority="51" aboveAverage="0" equalAverage="0" bottom="0" percent="0" rank="0" text="" dxfId="0">
      <formula>AND(ISNUMBER(F82),ISNUMBER(G82),F82&gt;G82)</formula>
    </cfRule>
  </conditionalFormatting>
  <conditionalFormatting sqref="H82">
    <cfRule type="expression" priority="52" aboveAverage="0" equalAverage="0" bottom="0" percent="0" rank="0" text="" dxfId="0">
      <formula>AND(ISNUMBER(H82),ISNUMBER(I82),H82&gt;I82)</formula>
    </cfRule>
  </conditionalFormatting>
  <conditionalFormatting sqref="D83">
    <cfRule type="expression" priority="53" aboveAverage="0" equalAverage="0" bottom="0" percent="0" rank="0" text="" dxfId="0">
      <formula>AND(ISNUMBER(D83),ISNUMBER(E83),D83&gt;E83)</formula>
    </cfRule>
  </conditionalFormatting>
  <conditionalFormatting sqref="F83">
    <cfRule type="expression" priority="54" aboveAverage="0" equalAverage="0" bottom="0" percent="0" rank="0" text="" dxfId="0">
      <formula>AND(ISNUMBER(F83),ISNUMBER(G83),F83&gt;G83)</formula>
    </cfRule>
  </conditionalFormatting>
  <conditionalFormatting sqref="H83">
    <cfRule type="expression" priority="55" aboveAverage="0" equalAverage="0" bottom="0" percent="0" rank="0" text="" dxfId="0">
      <formula>AND(ISNUMBER(H83),ISNUMBER(I83),H83&gt;I83)</formula>
    </cfRule>
  </conditionalFormatting>
  <conditionalFormatting sqref="D84">
    <cfRule type="expression" priority="56" aboveAverage="0" equalAverage="0" bottom="0" percent="0" rank="0" text="" dxfId="0">
      <formula>AND(ISNUMBER(D84),ISNUMBER(E84),D84&gt;E84)</formula>
    </cfRule>
  </conditionalFormatting>
  <conditionalFormatting sqref="F84">
    <cfRule type="expression" priority="57" aboveAverage="0" equalAverage="0" bottom="0" percent="0" rank="0" text="" dxfId="0">
      <formula>AND(ISNUMBER(F84),ISNUMBER(G84),F84&gt;G84)</formula>
    </cfRule>
  </conditionalFormatting>
  <conditionalFormatting sqref="H84">
    <cfRule type="expression" priority="58" aboveAverage="0" equalAverage="0" bottom="0" percent="0" rank="0" text="" dxfId="0">
      <formula>AND(ISNUMBER(H84),ISNUMBER(I84),H84&gt;I84)</formula>
    </cfRule>
  </conditionalFormatting>
  <conditionalFormatting sqref="D85">
    <cfRule type="expression" priority="59" aboveAverage="0" equalAverage="0" bottom="0" percent="0" rank="0" text="" dxfId="0">
      <formula>AND(ISNUMBER(D85),ISNUMBER(E85),D85&gt;E85)</formula>
    </cfRule>
  </conditionalFormatting>
  <conditionalFormatting sqref="F85">
    <cfRule type="expression" priority="60" aboveAverage="0" equalAverage="0" bottom="0" percent="0" rank="0" text="" dxfId="0">
      <formula>AND(ISNUMBER(F85),ISNUMBER(G85),F85&gt;G85)</formula>
    </cfRule>
  </conditionalFormatting>
  <conditionalFormatting sqref="H85">
    <cfRule type="expression" priority="61" aboveAverage="0" equalAverage="0" bottom="0" percent="0" rank="0" text="" dxfId="0">
      <formula>AND(ISNUMBER(H85),ISNUMBER(I85),H85&gt;I85)</formula>
    </cfRule>
  </conditionalFormatting>
  <conditionalFormatting sqref="B6:C8">
    <cfRule type="expression" priority="62" aboveAverage="0" equalAverage="0" bottom="0" percent="0" rank="0" text="" dxfId="1">
      <formula>$B$8="Green"</formula>
    </cfRule>
    <cfRule type="expression" priority="63" aboveAverage="0" equalAverage="0" bottom="0" percent="0" rank="0" text="" dxfId="2">
      <formula>$B$8="Amber"</formula>
    </cfRule>
    <cfRule type="expression" priority="64" aboveAverage="0" equalAverage="0" bottom="0" percent="0" rank="0" text="" dxfId="0">
      <formula>$B$8="Red"</formula>
    </cfRule>
    <cfRule type="expression" priority="65" aboveAverage="0" equalAverage="0" bottom="0" percent="0" rank="0" text="" dxfId="3">
      <formula>$B$8="N/A"</formula>
    </cfRule>
  </conditionalFormatting>
  <conditionalFormatting sqref="B10:C12">
    <cfRule type="expression" priority="66" aboveAverage="0" equalAverage="0" bottom="0" percent="0" rank="0" text="" dxfId="1">
      <formula>$B$12="Green"</formula>
    </cfRule>
    <cfRule type="expression" priority="67" aboveAverage="0" equalAverage="0" bottom="0" percent="0" rank="0" text="" dxfId="2">
      <formula>$B$12="Amber"</formula>
    </cfRule>
    <cfRule type="expression" priority="68" aboveAverage="0" equalAverage="0" bottom="0" percent="0" rank="0" text="" dxfId="0">
      <formula>$B$12="Red"</formula>
    </cfRule>
    <cfRule type="expression" priority="69" aboveAverage="0" equalAverage="0" bottom="0" percent="0" rank="0" text="" dxfId="3">
      <formula>$B$12="N/A"</formula>
    </cfRule>
  </conditionalFormatting>
  <conditionalFormatting sqref="D6:E8">
    <cfRule type="expression" priority="70" aboveAverage="0" equalAverage="0" bottom="0" percent="0" rank="0" text="" dxfId="1">
      <formula>$D$8="Green"</formula>
    </cfRule>
    <cfRule type="expression" priority="71" aboveAverage="0" equalAverage="0" bottom="0" percent="0" rank="0" text="" dxfId="2">
      <formula>$D$8="Amber"</formula>
    </cfRule>
    <cfRule type="expression" priority="72" aboveAverage="0" equalAverage="0" bottom="0" percent="0" rank="0" text="" dxfId="0">
      <formula>$D$8="Red"</formula>
    </cfRule>
    <cfRule type="expression" priority="73" aboveAverage="0" equalAverage="0" bottom="0" percent="0" rank="0" text="" dxfId="3">
      <formula>$D$8="N/A"</formula>
    </cfRule>
  </conditionalFormatting>
  <conditionalFormatting sqref="D10:E12">
    <cfRule type="expression" priority="74" aboveAverage="0" equalAverage="0" bottom="0" percent="0" rank="0" text="" dxfId="1">
      <formula>$D$12="Green"</formula>
    </cfRule>
    <cfRule type="expression" priority="75" aboveAverage="0" equalAverage="0" bottom="0" percent="0" rank="0" text="" dxfId="2">
      <formula>$D$12="Amber"</formula>
    </cfRule>
    <cfRule type="expression" priority="76" aboveAverage="0" equalAverage="0" bottom="0" percent="0" rank="0" text="" dxfId="0">
      <formula>$D$12="Red"</formula>
    </cfRule>
    <cfRule type="expression" priority="77" aboveAverage="0" equalAverage="0" bottom="0" percent="0" rank="0" text="" dxfId="3">
      <formula>$D$12="N/A"</formula>
    </cfRule>
  </conditionalFormatting>
  <conditionalFormatting sqref="F6:G8">
    <cfRule type="expression" priority="78" aboveAverage="0" equalAverage="0" bottom="0" percent="0" rank="0" text="" dxfId="1">
      <formula>$F$8="Green"</formula>
    </cfRule>
    <cfRule type="expression" priority="79" aboveAverage="0" equalAverage="0" bottom="0" percent="0" rank="0" text="" dxfId="2">
      <formula>$F$8="Amber"</formula>
    </cfRule>
    <cfRule type="expression" priority="80" aboveAverage="0" equalAverage="0" bottom="0" percent="0" rank="0" text="" dxfId="0">
      <formula>$F$8="Red"</formula>
    </cfRule>
    <cfRule type="expression" priority="81" aboveAverage="0" equalAverage="0" bottom="0" percent="0" rank="0" text="" dxfId="3">
      <formula>$F$8="N/A"</formula>
    </cfRule>
  </conditionalFormatting>
  <conditionalFormatting sqref="F10:G12">
    <cfRule type="expression" priority="82" aboveAverage="0" equalAverage="0" bottom="0" percent="0" rank="0" text="" dxfId="1">
      <formula>$F$12="Green"</formula>
    </cfRule>
    <cfRule type="expression" priority="83" aboveAverage="0" equalAverage="0" bottom="0" percent="0" rank="0" text="" dxfId="2">
      <formula>$F$12="Amber"</formula>
    </cfRule>
    <cfRule type="expression" priority="84" aboveAverage="0" equalAverage="0" bottom="0" percent="0" rank="0" text="" dxfId="0">
      <formula>$F$12="Red"</formula>
    </cfRule>
    <cfRule type="expression" priority="85" aboveAverage="0" equalAverage="0" bottom="0" percent="0" rank="0" text="" dxfId="3">
      <formula>$F$12="N/A"</formula>
    </cfRule>
  </conditionalFormatting>
  <conditionalFormatting sqref="H6:I8">
    <cfRule type="expression" priority="86" aboveAverage="0" equalAverage="0" bottom="0" percent="0" rank="0" text="" dxfId="1">
      <formula>$H$8="Green"</formula>
    </cfRule>
    <cfRule type="expression" priority="87" aboveAverage="0" equalAverage="0" bottom="0" percent="0" rank="0" text="" dxfId="2">
      <formula>$H$8="Amber"</formula>
    </cfRule>
    <cfRule type="expression" priority="88" aboveAverage="0" equalAverage="0" bottom="0" percent="0" rank="0" text="" dxfId="0">
      <formula>$H$8="Red"</formula>
    </cfRule>
    <cfRule type="expression" priority="89" aboveAverage="0" equalAverage="0" bottom="0" percent="0" rank="0" text="" dxfId="3">
      <formula>$H$8="N/A"</formula>
    </cfRule>
  </conditionalFormatting>
  <conditionalFormatting sqref="H10:I12">
    <cfRule type="expression" priority="90" aboveAverage="0" equalAverage="0" bottom="0" percent="0" rank="0" text="" dxfId="1">
      <formula>$H$12="Green"</formula>
    </cfRule>
    <cfRule type="expression" priority="91" aboveAverage="0" equalAverage="0" bottom="0" percent="0" rank="0" text="" dxfId="2">
      <formula>$H$12="Amber"</formula>
    </cfRule>
    <cfRule type="expression" priority="92" aboveAverage="0" equalAverage="0" bottom="0" percent="0" rank="0" text="" dxfId="0">
      <formula>$H$12="Red"</formula>
    </cfRule>
    <cfRule type="expression" priority="93" aboveAverage="0" equalAverage="0" bottom="0" percent="0" rank="0" text="" dxfId="3">
      <formula>$H$12="N/A"</formula>
    </cfRule>
  </conditionalFormatting>
  <conditionalFormatting sqref="J6:K8">
    <cfRule type="expression" priority="94" aboveAverage="0" equalAverage="0" bottom="0" percent="0" rank="0" text="" dxfId="1">
      <formula>$J$8="Green"</formula>
    </cfRule>
    <cfRule type="expression" priority="95" aboveAverage="0" equalAverage="0" bottom="0" percent="0" rank="0" text="" dxfId="2">
      <formula>$J$8="Amber"</formula>
    </cfRule>
    <cfRule type="expression" priority="96" aboveAverage="0" equalAverage="0" bottom="0" percent="0" rank="0" text="" dxfId="0">
      <formula>$J$8="Red"</formula>
    </cfRule>
    <cfRule type="expression" priority="97" aboveAverage="0" equalAverage="0" bottom="0" percent="0" rank="0" text="" dxfId="3">
      <formula>$J$8="N/A"</formula>
    </cfRule>
  </conditionalFormatting>
  <conditionalFormatting sqref="J10:K12">
    <cfRule type="expression" priority="98" aboveAverage="0" equalAverage="0" bottom="0" percent="0" rank="0" text="" dxfId="1">
      <formula>$J$12="Green"</formula>
    </cfRule>
    <cfRule type="expression" priority="99" aboveAverage="0" equalAverage="0" bottom="0" percent="0" rank="0" text="" dxfId="2">
      <formula>$J$12="Amber"</formula>
    </cfRule>
    <cfRule type="expression" priority="100" aboveAverage="0" equalAverage="0" bottom="0" percent="0" rank="0" text="" dxfId="0">
      <formula>$J$12="Red"</formula>
    </cfRule>
    <cfRule type="expression" priority="101" aboveAverage="0" equalAverage="0" bottom="0" percent="0" rank="0" text="" dxfId="3">
      <formula>$J$12="N/A"</formula>
    </cfRule>
  </conditionalFormatting>
  <conditionalFormatting sqref="L6:M8">
    <cfRule type="expression" priority="102" aboveAverage="0" equalAverage="0" bottom="0" percent="0" rank="0" text="" dxfId="1">
      <formula>$L$8="Green"</formula>
    </cfRule>
    <cfRule type="expression" priority="103" aboveAverage="0" equalAverage="0" bottom="0" percent="0" rank="0" text="" dxfId="2">
      <formula>$L$8="Amber"</formula>
    </cfRule>
    <cfRule type="expression" priority="104" aboveAverage="0" equalAverage="0" bottom="0" percent="0" rank="0" text="" dxfId="0">
      <formula>$L$8="Red"</formula>
    </cfRule>
    <cfRule type="expression" priority="105" aboveAverage="0" equalAverage="0" bottom="0" percent="0" rank="0" text="" dxfId="3">
      <formula>$L$8="N/A"</formula>
    </cfRule>
  </conditionalFormatting>
  <conditionalFormatting sqref="L10:M12">
    <cfRule type="expression" priority="106" aboveAverage="0" equalAverage="0" bottom="0" percent="0" rank="0" text="" dxfId="1">
      <formula>$L$12="Green"</formula>
    </cfRule>
    <cfRule type="expression" priority="107" aboveAverage="0" equalAverage="0" bottom="0" percent="0" rank="0" text="" dxfId="2">
      <formula>$L$12="Amber"</formula>
    </cfRule>
    <cfRule type="expression" priority="108" aboveAverage="0" equalAverage="0" bottom="0" percent="0" rank="0" text="" dxfId="0">
      <formula>$L$12="Red"</formula>
    </cfRule>
    <cfRule type="expression" priority="109" aboveAverage="0" equalAverage="0" bottom="0" percent="0" rank="0" text="" dxfId="3">
      <formula>$L$12="N/A"</formula>
    </cfRule>
  </conditionalFormatting>
  <conditionalFormatting sqref="B18:C20">
    <cfRule type="expression" priority="110" aboveAverage="0" equalAverage="0" bottom="0" percent="0" rank="0" text="" dxfId="1">
      <formula>$B$20="Green"</formula>
    </cfRule>
    <cfRule type="expression" priority="111" aboveAverage="0" equalAverage="0" bottom="0" percent="0" rank="0" text="" dxfId="2">
      <formula>$B$20="Amber"</formula>
    </cfRule>
    <cfRule type="expression" priority="112" aboveAverage="0" equalAverage="0" bottom="0" percent="0" rank="0" text="" dxfId="0">
      <formula>$B$20="Red"</formula>
    </cfRule>
    <cfRule type="expression" priority="113" aboveAverage="0" equalAverage="0" bottom="0" percent="0" rank="0" text="" dxfId="3">
      <formula>$B$20="N/A"</formula>
    </cfRule>
  </conditionalFormatting>
  <conditionalFormatting sqref="D18:E20">
    <cfRule type="expression" priority="114" aboveAverage="0" equalAverage="0" bottom="0" percent="0" rank="0" text="" dxfId="1">
      <formula>$D$20="Green"</formula>
    </cfRule>
    <cfRule type="expression" priority="115" aboveAverage="0" equalAverage="0" bottom="0" percent="0" rank="0" text="" dxfId="2">
      <formula>$D$20="Amber"</formula>
    </cfRule>
    <cfRule type="expression" priority="116" aboveAverage="0" equalAverage="0" bottom="0" percent="0" rank="0" text="" dxfId="0">
      <formula>$D$20="Red"</formula>
    </cfRule>
    <cfRule type="expression" priority="117" aboveAverage="0" equalAverage="0" bottom="0" percent="0" rank="0" text="" dxfId="3">
      <formula>$D$20="N/A"</formula>
    </cfRule>
  </conditionalFormatting>
  <conditionalFormatting sqref="F18:G20">
    <cfRule type="expression" priority="118" aboveAverage="0" equalAverage="0" bottom="0" percent="0" rank="0" text="" dxfId="1">
      <formula>$F$20="Green"</formula>
    </cfRule>
    <cfRule type="expression" priority="119" aboveAverage="0" equalAverage="0" bottom="0" percent="0" rank="0" text="" dxfId="2">
      <formula>$F$20="Amber"</formula>
    </cfRule>
    <cfRule type="expression" priority="120" aboveAverage="0" equalAverage="0" bottom="0" percent="0" rank="0" text="" dxfId="0">
      <formula>$F$20="Red"</formula>
    </cfRule>
    <cfRule type="expression" priority="121" aboveAverage="0" equalAverage="0" bottom="0" percent="0" rank="0" text="" dxfId="3">
      <formula>$F$20="N/A"</formula>
    </cfRule>
  </conditionalFormatting>
  <conditionalFormatting sqref="H18:I20">
    <cfRule type="expression" priority="122" aboveAverage="0" equalAverage="0" bottom="0" percent="0" rank="0" text="" dxfId="1">
      <formula>$H$20="Green"</formula>
    </cfRule>
    <cfRule type="expression" priority="123" aboveAverage="0" equalAverage="0" bottom="0" percent="0" rank="0" text="" dxfId="2">
      <formula>$H$20="Amber"</formula>
    </cfRule>
    <cfRule type="expression" priority="124" aboveAverage="0" equalAverage="0" bottom="0" percent="0" rank="0" text="" dxfId="0">
      <formula>$H$20="Red"</formula>
    </cfRule>
    <cfRule type="expression" priority="125" aboveAverage="0" equalAverage="0" bottom="0" percent="0" rank="0" text="" dxfId="3">
      <formula>$H$20="N/A"</formula>
    </cfRule>
  </conditionalFormatting>
  <conditionalFormatting sqref="B25">
    <cfRule type="expression" priority="126" aboveAverage="0" equalAverage="0" bottom="0" percent="0" rank="0" text="" dxfId="1">
      <formula>AND(ISNUMBER(B25),B25&gt;PBI_G)</formula>
    </cfRule>
    <cfRule type="expression" priority="127" aboveAverage="0" equalAverage="0" bottom="0" percent="0" rank="0" text="" dxfId="2">
      <formula>AND(ISNUMBER(B25),B25&lt;=PBI_G,B25&gt;=PBI_R)</formula>
    </cfRule>
    <cfRule type="expression" priority="128" aboveAverage="0" equalAverage="0" bottom="0" percent="0" rank="0" text="" dxfId="0">
      <formula>AND(ISNUMBER(B25),B25&lt;PBI_R)</formula>
    </cfRule>
    <cfRule type="expression" priority="129" aboveAverage="0" equalAverage="0" bottom="0" percent="0" rank="0" text="" dxfId="3">
      <formula>B25="N/A"</formula>
    </cfRule>
  </conditionalFormatting>
  <conditionalFormatting sqref="D25">
    <cfRule type="expression" priority="130" aboveAverage="0" equalAverage="0" bottom="0" percent="0" rank="0" text="" dxfId="1">
      <formula>AND(ISNUMBER(D25),D25&gt;PBI_G)</formula>
    </cfRule>
    <cfRule type="expression" priority="131" aboveAverage="0" equalAverage="0" bottom="0" percent="0" rank="0" text="" dxfId="2">
      <formula>AND(ISNUMBER(D25),D25&lt;=PBI_G,D25&gt;=PBI_R)</formula>
    </cfRule>
    <cfRule type="expression" priority="132" aboveAverage="0" equalAverage="0" bottom="0" percent="0" rank="0" text="" dxfId="0">
      <formula>AND(ISNUMBER(D25),D25&lt;PBI_R)</formula>
    </cfRule>
    <cfRule type="expression" priority="133" aboveAverage="0" equalAverage="0" bottom="0" percent="0" rank="0" text="" dxfId="3">
      <formula>D25="N/A"</formula>
    </cfRule>
  </conditionalFormatting>
  <conditionalFormatting sqref="F25">
    <cfRule type="expression" priority="134" aboveAverage="0" equalAverage="0" bottom="0" percent="0" rank="0" text="" dxfId="1">
      <formula>AND(ISNUMBER(F25),F25&gt;PBI_G)</formula>
    </cfRule>
    <cfRule type="expression" priority="135" aboveAverage="0" equalAverage="0" bottom="0" percent="0" rank="0" text="" dxfId="2">
      <formula>AND(ISNUMBER(F25),F25&lt;=PBI_G,F25&gt;=PBI_R)</formula>
    </cfRule>
    <cfRule type="expression" priority="136" aboveAverage="0" equalAverage="0" bottom="0" percent="0" rank="0" text="" dxfId="0">
      <formula>AND(ISNUMBER(F25),F25&lt;PBI_R)</formula>
    </cfRule>
    <cfRule type="expression" priority="137" aboveAverage="0" equalAverage="0" bottom="0" percent="0" rank="0" text="" dxfId="3">
      <formula>F25="N/A"</formula>
    </cfRule>
  </conditionalFormatting>
  <conditionalFormatting sqref="H25">
    <cfRule type="expression" priority="138" aboveAverage="0" equalAverage="0" bottom="0" percent="0" rank="0" text="" dxfId="1">
      <formula>AND(ISNUMBER(H25),H25&gt;PBI_G)</formula>
    </cfRule>
    <cfRule type="expression" priority="139" aboveAverage="0" equalAverage="0" bottom="0" percent="0" rank="0" text="" dxfId="2">
      <formula>AND(ISNUMBER(H25),H25&lt;=PBI_G,H25&gt;=PBI_R)</formula>
    </cfRule>
    <cfRule type="expression" priority="140" aboveAverage="0" equalAverage="0" bottom="0" percent="0" rank="0" text="" dxfId="0">
      <formula>AND(ISNUMBER(H25),H25&lt;PBI_R)</formula>
    </cfRule>
    <cfRule type="expression" priority="141" aboveAverage="0" equalAverage="0" bottom="0" percent="0" rank="0" text="" dxfId="3">
      <formula>H25="N/A"</formula>
    </cfRule>
  </conditionalFormatting>
  <conditionalFormatting sqref="J25">
    <cfRule type="expression" priority="142" aboveAverage="0" equalAverage="0" bottom="0" percent="0" rank="0" text="" dxfId="1">
      <formula>AND(ISNUMBER(J25),J25&gt;PBI_G)</formula>
    </cfRule>
    <cfRule type="expression" priority="143" aboveAverage="0" equalAverage="0" bottom="0" percent="0" rank="0" text="" dxfId="2">
      <formula>AND(ISNUMBER(J25),J25&lt;=PBI_G,J25&gt;=PBI_R)</formula>
    </cfRule>
    <cfRule type="expression" priority="144" aboveAverage="0" equalAverage="0" bottom="0" percent="0" rank="0" text="" dxfId="0">
      <formula>AND(ISNUMBER(J25),J25&lt;PBI_R)</formula>
    </cfRule>
    <cfRule type="expression" priority="145" aboveAverage="0" equalAverage="0" bottom="0" percent="0" rank="0" text="" dxfId="3">
      <formula>J25="N/A"</formula>
    </cfRule>
  </conditionalFormatting>
  <conditionalFormatting sqref="L25">
    <cfRule type="expression" priority="146" aboveAverage="0" equalAverage="0" bottom="0" percent="0" rank="0" text="" dxfId="1">
      <formula>AND(ISNUMBER(L25),L25&gt;PBI_G)</formula>
    </cfRule>
    <cfRule type="expression" priority="147" aboveAverage="0" equalAverage="0" bottom="0" percent="0" rank="0" text="" dxfId="2">
      <formula>AND(ISNUMBER(L25),L25&lt;=PBI_G,L25&gt;=PBI_R)</formula>
    </cfRule>
    <cfRule type="expression" priority="148" aboveAverage="0" equalAverage="0" bottom="0" percent="0" rank="0" text="" dxfId="0">
      <formula>AND(ISNUMBER(L25),L25&lt;PBI_R)</formula>
    </cfRule>
    <cfRule type="expression" priority="149" aboveAverage="0" equalAverage="0" bottom="0" percent="0" rank="0" text="" dxfId="3">
      <formula>L25="N/A"</formula>
    </cfRule>
  </conditionalFormatting>
  <conditionalFormatting sqref="B26">
    <cfRule type="expression" priority="150" aboveAverage="0" equalAverage="0" bottom="0" percent="0" rank="0" text="" dxfId="1">
      <formula>AND(ISNUMBER(B26),B26&gt;PBI_G)</formula>
    </cfRule>
    <cfRule type="expression" priority="151" aboveAverage="0" equalAverage="0" bottom="0" percent="0" rank="0" text="" dxfId="2">
      <formula>AND(ISNUMBER(B26),B26&lt;=PBI_G,B26&gt;=PBI_R)</formula>
    </cfRule>
    <cfRule type="expression" priority="152" aboveAverage="0" equalAverage="0" bottom="0" percent="0" rank="0" text="" dxfId="0">
      <formula>AND(ISNUMBER(B26),B26&lt;PBI_R)</formula>
    </cfRule>
    <cfRule type="expression" priority="153" aboveAverage="0" equalAverage="0" bottom="0" percent="0" rank="0" text="" dxfId="3">
      <formula>B26="N/A"</formula>
    </cfRule>
  </conditionalFormatting>
  <conditionalFormatting sqref="D26">
    <cfRule type="expression" priority="154" aboveAverage="0" equalAverage="0" bottom="0" percent="0" rank="0" text="" dxfId="1">
      <formula>AND(ISNUMBER(D26),D26&gt;PBI_G)</formula>
    </cfRule>
    <cfRule type="expression" priority="155" aboveAverage="0" equalAverage="0" bottom="0" percent="0" rank="0" text="" dxfId="2">
      <formula>AND(ISNUMBER(D26),D26&lt;=PBI_G,D26&gt;=PBI_R)</formula>
    </cfRule>
    <cfRule type="expression" priority="156" aboveAverage="0" equalAverage="0" bottom="0" percent="0" rank="0" text="" dxfId="0">
      <formula>AND(ISNUMBER(D26),D26&lt;PBI_R)</formula>
    </cfRule>
    <cfRule type="expression" priority="157" aboveAverage="0" equalAverage="0" bottom="0" percent="0" rank="0" text="" dxfId="3">
      <formula>D26="N/A"</formula>
    </cfRule>
  </conditionalFormatting>
  <conditionalFormatting sqref="F26">
    <cfRule type="expression" priority="158" aboveAverage="0" equalAverage="0" bottom="0" percent="0" rank="0" text="" dxfId="1">
      <formula>AND(ISNUMBER(F26),F26&gt;PBI_G)</formula>
    </cfRule>
    <cfRule type="expression" priority="159" aboveAverage="0" equalAverage="0" bottom="0" percent="0" rank="0" text="" dxfId="2">
      <formula>AND(ISNUMBER(F26),F26&lt;=PBI_G,F26&gt;=PBI_R)</formula>
    </cfRule>
    <cfRule type="expression" priority="160" aboveAverage="0" equalAverage="0" bottom="0" percent="0" rank="0" text="" dxfId="0">
      <formula>AND(ISNUMBER(F26),F26&lt;PBI_R)</formula>
    </cfRule>
    <cfRule type="expression" priority="161" aboveAverage="0" equalAverage="0" bottom="0" percent="0" rank="0" text="" dxfId="3">
      <formula>F26="N/A"</formula>
    </cfRule>
  </conditionalFormatting>
  <conditionalFormatting sqref="H26">
    <cfRule type="expression" priority="162" aboveAverage="0" equalAverage="0" bottom="0" percent="0" rank="0" text="" dxfId="1">
      <formula>AND(ISNUMBER(H26),H26&gt;PBI_G)</formula>
    </cfRule>
    <cfRule type="expression" priority="163" aboveAverage="0" equalAverage="0" bottom="0" percent="0" rank="0" text="" dxfId="2">
      <formula>AND(ISNUMBER(H26),H26&lt;=PBI_G,H26&gt;=PBI_R)</formula>
    </cfRule>
    <cfRule type="expression" priority="164" aboveAverage="0" equalAverage="0" bottom="0" percent="0" rank="0" text="" dxfId="0">
      <formula>AND(ISNUMBER(H26),H26&lt;PBI_R)</formula>
    </cfRule>
    <cfRule type="expression" priority="165" aboveAverage="0" equalAverage="0" bottom="0" percent="0" rank="0" text="" dxfId="3">
      <formula>H26="N/A"</formula>
    </cfRule>
  </conditionalFormatting>
  <conditionalFormatting sqref="J26">
    <cfRule type="expression" priority="166" aboveAverage="0" equalAverage="0" bottom="0" percent="0" rank="0" text="" dxfId="1">
      <formula>AND(ISNUMBER(J26),J26&gt;PBI_G)</formula>
    </cfRule>
    <cfRule type="expression" priority="167" aboveAverage="0" equalAverage="0" bottom="0" percent="0" rank="0" text="" dxfId="2">
      <formula>AND(ISNUMBER(J26),J26&lt;=PBI_G,J26&gt;=PBI_R)</formula>
    </cfRule>
    <cfRule type="expression" priority="168" aboveAverage="0" equalAverage="0" bottom="0" percent="0" rank="0" text="" dxfId="0">
      <formula>AND(ISNUMBER(J26),J26&lt;PBI_R)</formula>
    </cfRule>
    <cfRule type="expression" priority="169" aboveAverage="0" equalAverage="0" bottom="0" percent="0" rank="0" text="" dxfId="3">
      <formula>J26="N/A"</formula>
    </cfRule>
  </conditionalFormatting>
  <conditionalFormatting sqref="L26">
    <cfRule type="expression" priority="170" aboveAverage="0" equalAverage="0" bottom="0" percent="0" rank="0" text="" dxfId="1">
      <formula>AND(ISNUMBER(L26),L26&gt;PBI_G)</formula>
    </cfRule>
    <cfRule type="expression" priority="171" aboveAverage="0" equalAverage="0" bottom="0" percent="0" rank="0" text="" dxfId="2">
      <formula>AND(ISNUMBER(L26),L26&lt;=PBI_G,L26&gt;=PBI_R)</formula>
    </cfRule>
    <cfRule type="expression" priority="172" aboveAverage="0" equalAverage="0" bottom="0" percent="0" rank="0" text="" dxfId="0">
      <formula>AND(ISNUMBER(L26),L26&lt;PBI_R)</formula>
    </cfRule>
    <cfRule type="expression" priority="173" aboveAverage="0" equalAverage="0" bottom="0" percent="0" rank="0" text="" dxfId="3">
      <formula>L26="N/A"</formula>
    </cfRule>
  </conditionalFormatting>
  <conditionalFormatting sqref="B27">
    <cfRule type="expression" priority="174" aboveAverage="0" equalAverage="0" bottom="0" percent="0" rank="0" text="" dxfId="1">
      <formula>AND(ISNUMBER(B27),B27&gt;PBI_G)</formula>
    </cfRule>
    <cfRule type="expression" priority="175" aboveAverage="0" equalAverage="0" bottom="0" percent="0" rank="0" text="" dxfId="2">
      <formula>AND(ISNUMBER(B27),B27&lt;=PBI_G,B27&gt;=PBI_R)</formula>
    </cfRule>
    <cfRule type="expression" priority="176" aboveAverage="0" equalAverage="0" bottom="0" percent="0" rank="0" text="" dxfId="0">
      <formula>AND(ISNUMBER(B27),B27&lt;PBI_R)</formula>
    </cfRule>
    <cfRule type="expression" priority="177" aboveAverage="0" equalAverage="0" bottom="0" percent="0" rank="0" text="" dxfId="3">
      <formula>B27="N/A"</formula>
    </cfRule>
  </conditionalFormatting>
  <conditionalFormatting sqref="D27">
    <cfRule type="expression" priority="178" aboveAverage="0" equalAverage="0" bottom="0" percent="0" rank="0" text="" dxfId="1">
      <formula>AND(ISNUMBER(D27),D27&gt;PBI_G)</formula>
    </cfRule>
    <cfRule type="expression" priority="179" aboveAverage="0" equalAverage="0" bottom="0" percent="0" rank="0" text="" dxfId="2">
      <formula>AND(ISNUMBER(D27),D27&lt;=PBI_G,D27&gt;=PBI_R)</formula>
    </cfRule>
    <cfRule type="expression" priority="180" aboveAverage="0" equalAverage="0" bottom="0" percent="0" rank="0" text="" dxfId="0">
      <formula>AND(ISNUMBER(D27),D27&lt;PBI_R)</formula>
    </cfRule>
    <cfRule type="expression" priority="181" aboveAverage="0" equalAverage="0" bottom="0" percent="0" rank="0" text="" dxfId="3">
      <formula>D27="N/A"</formula>
    </cfRule>
  </conditionalFormatting>
  <conditionalFormatting sqref="F27">
    <cfRule type="expression" priority="182" aboveAverage="0" equalAverage="0" bottom="0" percent="0" rank="0" text="" dxfId="1">
      <formula>AND(ISNUMBER(F27),F27&gt;PBI_G)</formula>
    </cfRule>
    <cfRule type="expression" priority="183" aboveAverage="0" equalAverage="0" bottom="0" percent="0" rank="0" text="" dxfId="2">
      <formula>AND(ISNUMBER(F27),F27&lt;=PBI_G,F27&gt;=PBI_R)</formula>
    </cfRule>
    <cfRule type="expression" priority="184" aboveAverage="0" equalAverage="0" bottom="0" percent="0" rank="0" text="" dxfId="0">
      <formula>AND(ISNUMBER(F27),F27&lt;PBI_R)</formula>
    </cfRule>
    <cfRule type="expression" priority="185" aboveAverage="0" equalAverage="0" bottom="0" percent="0" rank="0" text="" dxfId="3">
      <formula>F27="N/A"</formula>
    </cfRule>
  </conditionalFormatting>
  <conditionalFormatting sqref="H27">
    <cfRule type="expression" priority="186" aboveAverage="0" equalAverage="0" bottom="0" percent="0" rank="0" text="" dxfId="1">
      <formula>AND(ISNUMBER(H27),H27&gt;PBI_G)</formula>
    </cfRule>
    <cfRule type="expression" priority="187" aboveAverage="0" equalAverage="0" bottom="0" percent="0" rank="0" text="" dxfId="2">
      <formula>AND(ISNUMBER(H27),H27&lt;=PBI_G,H27&gt;=PBI_R)</formula>
    </cfRule>
    <cfRule type="expression" priority="188" aboveAverage="0" equalAverage="0" bottom="0" percent="0" rank="0" text="" dxfId="0">
      <formula>AND(ISNUMBER(H27),H27&lt;PBI_R)</formula>
    </cfRule>
    <cfRule type="expression" priority="189" aboveAverage="0" equalAverage="0" bottom="0" percent="0" rank="0" text="" dxfId="3">
      <formula>H27="N/A"</formula>
    </cfRule>
  </conditionalFormatting>
  <conditionalFormatting sqref="J27">
    <cfRule type="expression" priority="190" aboveAverage="0" equalAverage="0" bottom="0" percent="0" rank="0" text="" dxfId="1">
      <formula>AND(ISNUMBER(J27),J27&gt;PBI_G)</formula>
    </cfRule>
    <cfRule type="expression" priority="191" aboveAverage="0" equalAverage="0" bottom="0" percent="0" rank="0" text="" dxfId="2">
      <formula>AND(ISNUMBER(J27),J27&lt;=PBI_G,J27&gt;=PBI_R)</formula>
    </cfRule>
    <cfRule type="expression" priority="192" aboveAverage="0" equalAverage="0" bottom="0" percent="0" rank="0" text="" dxfId="0">
      <formula>AND(ISNUMBER(J27),J27&lt;PBI_R)</formula>
    </cfRule>
    <cfRule type="expression" priority="193" aboveAverage="0" equalAverage="0" bottom="0" percent="0" rank="0" text="" dxfId="3">
      <formula>J27="N/A"</formula>
    </cfRule>
  </conditionalFormatting>
  <conditionalFormatting sqref="L27">
    <cfRule type="expression" priority="194" aboveAverage="0" equalAverage="0" bottom="0" percent="0" rank="0" text="" dxfId="1">
      <formula>AND(ISNUMBER(L27),L27&gt;PBI_G)</formula>
    </cfRule>
    <cfRule type="expression" priority="195" aboveAverage="0" equalAverage="0" bottom="0" percent="0" rank="0" text="" dxfId="2">
      <formula>AND(ISNUMBER(L27),L27&lt;=PBI_G,L27&gt;=PBI_R)</formula>
    </cfRule>
    <cfRule type="expression" priority="196" aboveAverage="0" equalAverage="0" bottom="0" percent="0" rank="0" text="" dxfId="0">
      <formula>AND(ISNUMBER(L27),L27&lt;PBI_R)</formula>
    </cfRule>
    <cfRule type="expression" priority="197" aboveAverage="0" equalAverage="0" bottom="0" percent="0" rank="0" text="" dxfId="3">
      <formula>L27="N/A"</formula>
    </cfRule>
  </conditionalFormatting>
  <conditionalFormatting sqref="B28">
    <cfRule type="expression" priority="198" aboveAverage="0" equalAverage="0" bottom="0" percent="0" rank="0" text="" dxfId="1">
      <formula>AND(ISNUMBER(B28),B28&gt;PBI_G)</formula>
    </cfRule>
    <cfRule type="expression" priority="199" aboveAverage="0" equalAverage="0" bottom="0" percent="0" rank="0" text="" dxfId="2">
      <formula>AND(ISNUMBER(B28),B28&lt;=PBI_G,B28&gt;=PBI_R)</formula>
    </cfRule>
    <cfRule type="expression" priority="200" aboveAverage="0" equalAverage="0" bottom="0" percent="0" rank="0" text="" dxfId="0">
      <formula>AND(ISNUMBER(B28),B28&lt;PBI_R)</formula>
    </cfRule>
    <cfRule type="expression" priority="201" aboveAverage="0" equalAverage="0" bottom="0" percent="0" rank="0" text="" dxfId="3">
      <formula>B28="N/A"</formula>
    </cfRule>
  </conditionalFormatting>
  <conditionalFormatting sqref="D28">
    <cfRule type="expression" priority="202" aboveAverage="0" equalAverage="0" bottom="0" percent="0" rank="0" text="" dxfId="1">
      <formula>AND(ISNUMBER(D28),D28&gt;PBI_G)</formula>
    </cfRule>
    <cfRule type="expression" priority="203" aboveAverage="0" equalAverage="0" bottom="0" percent="0" rank="0" text="" dxfId="2">
      <formula>AND(ISNUMBER(D28),D28&lt;=PBI_G,D28&gt;=PBI_R)</formula>
    </cfRule>
    <cfRule type="expression" priority="204" aboveAverage="0" equalAverage="0" bottom="0" percent="0" rank="0" text="" dxfId="0">
      <formula>AND(ISNUMBER(D28),D28&lt;PBI_R)</formula>
    </cfRule>
    <cfRule type="expression" priority="205" aboveAverage="0" equalAverage="0" bottom="0" percent="0" rank="0" text="" dxfId="3">
      <formula>D28="N/A"</formula>
    </cfRule>
  </conditionalFormatting>
  <conditionalFormatting sqref="F28">
    <cfRule type="expression" priority="206" aboveAverage="0" equalAverage="0" bottom="0" percent="0" rank="0" text="" dxfId="1">
      <formula>AND(ISNUMBER(F28),F28&gt;PBI_G)</formula>
    </cfRule>
    <cfRule type="expression" priority="207" aboveAverage="0" equalAverage="0" bottom="0" percent="0" rank="0" text="" dxfId="2">
      <formula>AND(ISNUMBER(F28),F28&lt;=PBI_G,F28&gt;=PBI_R)</formula>
    </cfRule>
    <cfRule type="expression" priority="208" aboveAverage="0" equalAverage="0" bottom="0" percent="0" rank="0" text="" dxfId="0">
      <formula>AND(ISNUMBER(F28),F28&lt;PBI_R)</formula>
    </cfRule>
    <cfRule type="expression" priority="209" aboveAverage="0" equalAverage="0" bottom="0" percent="0" rank="0" text="" dxfId="3">
      <formula>F28="N/A"</formula>
    </cfRule>
  </conditionalFormatting>
  <conditionalFormatting sqref="H28">
    <cfRule type="expression" priority="210" aboveAverage="0" equalAverage="0" bottom="0" percent="0" rank="0" text="" dxfId="1">
      <formula>AND(ISNUMBER(H28),H28&gt;PBI_G)</formula>
    </cfRule>
    <cfRule type="expression" priority="211" aboveAverage="0" equalAverage="0" bottom="0" percent="0" rank="0" text="" dxfId="2">
      <formula>AND(ISNUMBER(H28),H28&lt;=PBI_G,H28&gt;=PBI_R)</formula>
    </cfRule>
    <cfRule type="expression" priority="212" aboveAverage="0" equalAverage="0" bottom="0" percent="0" rank="0" text="" dxfId="0">
      <formula>AND(ISNUMBER(H28),H28&lt;PBI_R)</formula>
    </cfRule>
    <cfRule type="expression" priority="213" aboveAverage="0" equalAverage="0" bottom="0" percent="0" rank="0" text="" dxfId="3">
      <formula>H28="N/A"</formula>
    </cfRule>
  </conditionalFormatting>
  <conditionalFormatting sqref="J28">
    <cfRule type="expression" priority="214" aboveAverage="0" equalAverage="0" bottom="0" percent="0" rank="0" text="" dxfId="1">
      <formula>AND(ISNUMBER(J28),J28&gt;PBI_G)</formula>
    </cfRule>
    <cfRule type="expression" priority="215" aboveAverage="0" equalAverage="0" bottom="0" percent="0" rank="0" text="" dxfId="2">
      <formula>AND(ISNUMBER(J28),J28&lt;=PBI_G,J28&gt;=PBI_R)</formula>
    </cfRule>
    <cfRule type="expression" priority="216" aboveAverage="0" equalAverage="0" bottom="0" percent="0" rank="0" text="" dxfId="0">
      <formula>AND(ISNUMBER(J28),J28&lt;PBI_R)</formula>
    </cfRule>
    <cfRule type="expression" priority="217" aboveAverage="0" equalAverage="0" bottom="0" percent="0" rank="0" text="" dxfId="3">
      <formula>J28="N/A"</formula>
    </cfRule>
  </conditionalFormatting>
  <conditionalFormatting sqref="L28">
    <cfRule type="expression" priority="218" aboveAverage="0" equalAverage="0" bottom="0" percent="0" rank="0" text="" dxfId="1">
      <formula>AND(ISNUMBER(L28),L28&gt;PBI_G)</formula>
    </cfRule>
    <cfRule type="expression" priority="219" aboveAverage="0" equalAverage="0" bottom="0" percent="0" rank="0" text="" dxfId="2">
      <formula>AND(ISNUMBER(L28),L28&lt;=PBI_G,L28&gt;=PBI_R)</formula>
    </cfRule>
    <cfRule type="expression" priority="220" aboveAverage="0" equalAverage="0" bottom="0" percent="0" rank="0" text="" dxfId="0">
      <formula>AND(ISNUMBER(L28),L28&lt;PBI_R)</formula>
    </cfRule>
    <cfRule type="expression" priority="221" aboveAverage="0" equalAverage="0" bottom="0" percent="0" rank="0" text="" dxfId="3">
      <formula>L28="N/A"</formula>
    </cfRule>
  </conditionalFormatting>
  <conditionalFormatting sqref="B29">
    <cfRule type="expression" priority="222" aboveAverage="0" equalAverage="0" bottom="0" percent="0" rank="0" text="" dxfId="1">
      <formula>AND(ISNUMBER(B29),B29&gt;PBI_G)</formula>
    </cfRule>
    <cfRule type="expression" priority="223" aboveAverage="0" equalAverage="0" bottom="0" percent="0" rank="0" text="" dxfId="2">
      <formula>AND(ISNUMBER(B29),B29&lt;=PBI_G,B29&gt;=PBI_R)</formula>
    </cfRule>
    <cfRule type="expression" priority="224" aboveAverage="0" equalAverage="0" bottom="0" percent="0" rank="0" text="" dxfId="0">
      <formula>AND(ISNUMBER(B29),B29&lt;PBI_R)</formula>
    </cfRule>
    <cfRule type="expression" priority="225" aboveAverage="0" equalAverage="0" bottom="0" percent="0" rank="0" text="" dxfId="3">
      <formula>B29="N/A"</formula>
    </cfRule>
  </conditionalFormatting>
  <conditionalFormatting sqref="D29">
    <cfRule type="expression" priority="226" aboveAverage="0" equalAverage="0" bottom="0" percent="0" rank="0" text="" dxfId="1">
      <formula>AND(ISNUMBER(D29),D29&gt;PBI_G)</formula>
    </cfRule>
    <cfRule type="expression" priority="227" aboveAverage="0" equalAverage="0" bottom="0" percent="0" rank="0" text="" dxfId="2">
      <formula>AND(ISNUMBER(D29),D29&lt;=PBI_G,D29&gt;=PBI_R)</formula>
    </cfRule>
    <cfRule type="expression" priority="228" aboveAverage="0" equalAverage="0" bottom="0" percent="0" rank="0" text="" dxfId="0">
      <formula>AND(ISNUMBER(D29),D29&lt;PBI_R)</formula>
    </cfRule>
    <cfRule type="expression" priority="229" aboveAverage="0" equalAverage="0" bottom="0" percent="0" rank="0" text="" dxfId="3">
      <formula>D29="N/A"</formula>
    </cfRule>
  </conditionalFormatting>
  <conditionalFormatting sqref="F29">
    <cfRule type="expression" priority="230" aboveAverage="0" equalAverage="0" bottom="0" percent="0" rank="0" text="" dxfId="1">
      <formula>AND(ISNUMBER(F29),F29&gt;PBI_G)</formula>
    </cfRule>
    <cfRule type="expression" priority="231" aboveAverage="0" equalAverage="0" bottom="0" percent="0" rank="0" text="" dxfId="2">
      <formula>AND(ISNUMBER(F29),F29&lt;=PBI_G,F29&gt;=PBI_R)</formula>
    </cfRule>
    <cfRule type="expression" priority="232" aboveAverage="0" equalAverage="0" bottom="0" percent="0" rank="0" text="" dxfId="0">
      <formula>AND(ISNUMBER(F29),F29&lt;PBI_R)</formula>
    </cfRule>
    <cfRule type="expression" priority="233" aboveAverage="0" equalAverage="0" bottom="0" percent="0" rank="0" text="" dxfId="3">
      <formula>F29="N/A"</formula>
    </cfRule>
  </conditionalFormatting>
  <conditionalFormatting sqref="H29">
    <cfRule type="expression" priority="234" aboveAverage="0" equalAverage="0" bottom="0" percent="0" rank="0" text="" dxfId="1">
      <formula>AND(ISNUMBER(H29),H29&gt;PBI_G)</formula>
    </cfRule>
    <cfRule type="expression" priority="235" aboveAverage="0" equalAverage="0" bottom="0" percent="0" rank="0" text="" dxfId="2">
      <formula>AND(ISNUMBER(H29),H29&lt;=PBI_G,H29&gt;=PBI_R)</formula>
    </cfRule>
    <cfRule type="expression" priority="236" aboveAverage="0" equalAverage="0" bottom="0" percent="0" rank="0" text="" dxfId="0">
      <formula>AND(ISNUMBER(H29),H29&lt;PBI_R)</formula>
    </cfRule>
    <cfRule type="expression" priority="237" aboveAverage="0" equalAverage="0" bottom="0" percent="0" rank="0" text="" dxfId="3">
      <formula>H29="N/A"</formula>
    </cfRule>
  </conditionalFormatting>
  <conditionalFormatting sqref="J29">
    <cfRule type="expression" priority="238" aboveAverage="0" equalAverage="0" bottom="0" percent="0" rank="0" text="" dxfId="1">
      <formula>AND(ISNUMBER(J29),J29&gt;PBI_G)</formula>
    </cfRule>
    <cfRule type="expression" priority="239" aboveAverage="0" equalAverage="0" bottom="0" percent="0" rank="0" text="" dxfId="2">
      <formula>AND(ISNUMBER(J29),J29&lt;=PBI_G,J29&gt;=PBI_R)</formula>
    </cfRule>
    <cfRule type="expression" priority="240" aboveAverage="0" equalAverage="0" bottom="0" percent="0" rank="0" text="" dxfId="0">
      <formula>AND(ISNUMBER(J29),J29&lt;PBI_R)</formula>
    </cfRule>
    <cfRule type="expression" priority="241" aboveAverage="0" equalAverage="0" bottom="0" percent="0" rank="0" text="" dxfId="3">
      <formula>J29="N/A"</formula>
    </cfRule>
  </conditionalFormatting>
  <conditionalFormatting sqref="L29">
    <cfRule type="expression" priority="242" aboveAverage="0" equalAverage="0" bottom="0" percent="0" rank="0" text="" dxfId="1">
      <formula>AND(ISNUMBER(L29),L29&gt;PBI_G)</formula>
    </cfRule>
    <cfRule type="expression" priority="243" aboveAverage="0" equalAverage="0" bottom="0" percent="0" rank="0" text="" dxfId="2">
      <formula>AND(ISNUMBER(L29),L29&lt;=PBI_G,L29&gt;=PBI_R)</formula>
    </cfRule>
    <cfRule type="expression" priority="244" aboveAverage="0" equalAverage="0" bottom="0" percent="0" rank="0" text="" dxfId="0">
      <formula>AND(ISNUMBER(L29),L29&lt;PBI_R)</formula>
    </cfRule>
    <cfRule type="expression" priority="245" aboveAverage="0" equalAverage="0" bottom="0" percent="0" rank="0" text="" dxfId="3">
      <formula>L29="N/A"</formula>
    </cfRule>
  </conditionalFormatting>
  <conditionalFormatting sqref="B32">
    <cfRule type="expression" priority="246" aboveAverage="0" equalAverage="0" bottom="0" percent="0" rank="0" text="" dxfId="1">
      <formula>AND(ISNUMBER(B32),B32&lt;=NCR_G)</formula>
    </cfRule>
    <cfRule type="expression" priority="247" aboveAverage="0" equalAverage="0" bottom="0" percent="0" rank="0" text="" dxfId="2">
      <formula>AND(ISNUMBER(B32),B32&gt;NCR_G,B32&lt;NCR_R)</formula>
    </cfRule>
    <cfRule type="expression" priority="248" aboveAverage="0" equalAverage="0" bottom="0" percent="0" rank="0" text="" dxfId="0">
      <formula>AND(ISNUMBER(B32),B32&gt;=NCR_R)</formula>
    </cfRule>
    <cfRule type="expression" priority="249" aboveAverage="0" equalAverage="0" bottom="0" percent="0" rank="0" text="" dxfId="3">
      <formula>B32="N/A"</formula>
    </cfRule>
  </conditionalFormatting>
  <conditionalFormatting sqref="D32">
    <cfRule type="expression" priority="250" aboveAverage="0" equalAverage="0" bottom="0" percent="0" rank="0" text="" dxfId="1">
      <formula>AND(ISNUMBER(D32),D32&gt;EQ_G)</formula>
    </cfRule>
    <cfRule type="expression" priority="251" aboveAverage="0" equalAverage="0" bottom="0" percent="0" rank="0" text="" dxfId="2">
      <formula>AND(ISNUMBER(D32),D32&lt;=EQ_G,D32&gt;=EQ_R)</formula>
    </cfRule>
    <cfRule type="expression" priority="252" aboveAverage="0" equalAverage="0" bottom="0" percent="0" rank="0" text="" dxfId="0">
      <formula>AND(ISNUMBER(D32),D32&lt;EQ_R)</formula>
    </cfRule>
    <cfRule type="expression" priority="253" aboveAverage="0" equalAverage="0" bottom="0" percent="0" rank="0" text="" dxfId="3">
      <formula>D32="N/A"</formula>
    </cfRule>
  </conditionalFormatting>
  <conditionalFormatting sqref="F32">
    <cfRule type="expression" priority="254" aboveAverage="0" equalAverage="0" bottom="0" percent="0" rank="0" text="" dxfId="1">
      <formula>AND(ISNUMBER(F32),F32&gt;INSP_G)</formula>
    </cfRule>
    <cfRule type="expression" priority="255" aboveAverage="0" equalAverage="0" bottom="0" percent="0" rank="0" text="" dxfId="2">
      <formula>AND(ISNUMBER(F32),F32&lt;=INSP_G,F32&gt;=INSP_R)</formula>
    </cfRule>
    <cfRule type="expression" priority="256" aboveAverage="0" equalAverage="0" bottom="0" percent="0" rank="0" text="" dxfId="0">
      <formula>AND(ISNUMBER(F32),F32&lt;INSP_R)</formula>
    </cfRule>
    <cfRule type="expression" priority="257" aboveAverage="0" equalAverage="0" bottom="0" percent="0" rank="0" text="" dxfId="3">
      <formula>F32="N/A"</formula>
    </cfRule>
  </conditionalFormatting>
  <conditionalFormatting sqref="H32">
    <cfRule type="expression" priority="258" aboveAverage="0" equalAverage="0" bottom="0" percent="0" rank="0" text="" dxfId="1">
      <formula>AND(ISNUMBER(H32),H32&gt;LTR_G)</formula>
    </cfRule>
    <cfRule type="expression" priority="259" aboveAverage="0" equalAverage="0" bottom="0" percent="0" rank="0" text="" dxfId="2">
      <formula>AND(ISNUMBER(H32),H32&lt;=LTR_G,H32&gt;=LTR_R)</formula>
    </cfRule>
    <cfRule type="expression" priority="260" aboveAverage="0" equalAverage="0" bottom="0" percent="0" rank="0" text="" dxfId="0">
      <formula>AND(ISNUMBER(H32),H32&lt;LTR_R)</formula>
    </cfRule>
    <cfRule type="expression" priority="261" aboveAverage="0" equalAverage="0" bottom="0" percent="0" rank="0" text="" dxfId="3">
      <formula>H32="N/A"</formula>
    </cfRule>
  </conditionalFormatting>
  <conditionalFormatting sqref="B33">
    <cfRule type="expression" priority="262" aboveAverage="0" equalAverage="0" bottom="0" percent="0" rank="0" text="" dxfId="1">
      <formula>AND(ISNUMBER(B33),B33&lt;=NCR_G)</formula>
    </cfRule>
    <cfRule type="expression" priority="263" aboveAverage="0" equalAverage="0" bottom="0" percent="0" rank="0" text="" dxfId="2">
      <formula>AND(ISNUMBER(B33),B33&gt;NCR_G,B33&lt;NCR_R)</formula>
    </cfRule>
    <cfRule type="expression" priority="264" aboveAverage="0" equalAverage="0" bottom="0" percent="0" rank="0" text="" dxfId="0">
      <formula>AND(ISNUMBER(B33),B33&gt;=NCR_R)</formula>
    </cfRule>
    <cfRule type="expression" priority="265" aboveAverage="0" equalAverage="0" bottom="0" percent="0" rank="0" text="" dxfId="3">
      <formula>B33="N/A"</formula>
    </cfRule>
  </conditionalFormatting>
  <conditionalFormatting sqref="D33">
    <cfRule type="expression" priority="266" aboveAverage="0" equalAverage="0" bottom="0" percent="0" rank="0" text="" dxfId="1">
      <formula>AND(ISNUMBER(D33),D33&gt;EQ_G)</formula>
    </cfRule>
    <cfRule type="expression" priority="267" aboveAverage="0" equalAverage="0" bottom="0" percent="0" rank="0" text="" dxfId="2">
      <formula>AND(ISNUMBER(D33),D33&lt;=EQ_G,D33&gt;=EQ_R)</formula>
    </cfRule>
    <cfRule type="expression" priority="268" aboveAverage="0" equalAverage="0" bottom="0" percent="0" rank="0" text="" dxfId="0">
      <formula>AND(ISNUMBER(D33),D33&lt;EQ_R)</formula>
    </cfRule>
    <cfRule type="expression" priority="269" aboveAverage="0" equalAverage="0" bottom="0" percent="0" rank="0" text="" dxfId="3">
      <formula>D33="N/A"</formula>
    </cfRule>
  </conditionalFormatting>
  <conditionalFormatting sqref="F33">
    <cfRule type="expression" priority="270" aboveAverage="0" equalAverage="0" bottom="0" percent="0" rank="0" text="" dxfId="1">
      <formula>AND(ISNUMBER(F33),F33&gt;INSP_G)</formula>
    </cfRule>
    <cfRule type="expression" priority="271" aboveAverage="0" equalAverage="0" bottom="0" percent="0" rank="0" text="" dxfId="2">
      <formula>AND(ISNUMBER(F33),F33&lt;=INSP_G,F33&gt;=INSP_R)</formula>
    </cfRule>
    <cfRule type="expression" priority="272" aboveAverage="0" equalAverage="0" bottom="0" percent="0" rank="0" text="" dxfId="0">
      <formula>AND(ISNUMBER(F33),F33&lt;INSP_R)</formula>
    </cfRule>
    <cfRule type="expression" priority="273" aboveAverage="0" equalAverage="0" bottom="0" percent="0" rank="0" text="" dxfId="3">
      <formula>F33="N/A"</formula>
    </cfRule>
  </conditionalFormatting>
  <conditionalFormatting sqref="H33">
    <cfRule type="expression" priority="274" aboveAverage="0" equalAverage="0" bottom="0" percent="0" rank="0" text="" dxfId="1">
      <formula>AND(ISNUMBER(H33),H33&gt;LTR_G)</formula>
    </cfRule>
    <cfRule type="expression" priority="275" aboveAverage="0" equalAverage="0" bottom="0" percent="0" rank="0" text="" dxfId="2">
      <formula>AND(ISNUMBER(H33),H33&lt;=LTR_G,H33&gt;=LTR_R)</formula>
    </cfRule>
    <cfRule type="expression" priority="276" aboveAverage="0" equalAverage="0" bottom="0" percent="0" rank="0" text="" dxfId="0">
      <formula>AND(ISNUMBER(H33),H33&lt;LTR_R)</formula>
    </cfRule>
    <cfRule type="expression" priority="277" aboveAverage="0" equalAverage="0" bottom="0" percent="0" rank="0" text="" dxfId="3">
      <formula>H33="N/A"</formula>
    </cfRule>
  </conditionalFormatting>
  <conditionalFormatting sqref="B34">
    <cfRule type="expression" priority="278" aboveAverage="0" equalAverage="0" bottom="0" percent="0" rank="0" text="" dxfId="1">
      <formula>AND(ISNUMBER(B34),B34&lt;=NCR_G)</formula>
    </cfRule>
    <cfRule type="expression" priority="279" aboveAverage="0" equalAverage="0" bottom="0" percent="0" rank="0" text="" dxfId="2">
      <formula>AND(ISNUMBER(B34),B34&gt;NCR_G,B34&lt;NCR_R)</formula>
    </cfRule>
    <cfRule type="expression" priority="280" aboveAverage="0" equalAverage="0" bottom="0" percent="0" rank="0" text="" dxfId="0">
      <formula>AND(ISNUMBER(B34),B34&gt;=NCR_R)</formula>
    </cfRule>
    <cfRule type="expression" priority="281" aboveAverage="0" equalAverage="0" bottom="0" percent="0" rank="0" text="" dxfId="3">
      <formula>B34="N/A"</formula>
    </cfRule>
  </conditionalFormatting>
  <conditionalFormatting sqref="D34">
    <cfRule type="expression" priority="282" aboveAverage="0" equalAverage="0" bottom="0" percent="0" rank="0" text="" dxfId="1">
      <formula>AND(ISNUMBER(D34),D34&gt;EQ_G)</formula>
    </cfRule>
    <cfRule type="expression" priority="283" aboveAverage="0" equalAverage="0" bottom="0" percent="0" rank="0" text="" dxfId="2">
      <formula>AND(ISNUMBER(D34),D34&lt;=EQ_G,D34&gt;=EQ_R)</formula>
    </cfRule>
    <cfRule type="expression" priority="284" aboveAverage="0" equalAverage="0" bottom="0" percent="0" rank="0" text="" dxfId="0">
      <formula>AND(ISNUMBER(D34),D34&lt;EQ_R)</formula>
    </cfRule>
    <cfRule type="expression" priority="285" aboveAverage="0" equalAverage="0" bottom="0" percent="0" rank="0" text="" dxfId="3">
      <formula>D34="N/A"</formula>
    </cfRule>
  </conditionalFormatting>
  <conditionalFormatting sqref="F34">
    <cfRule type="expression" priority="286" aboveAverage="0" equalAverage="0" bottom="0" percent="0" rank="0" text="" dxfId="1">
      <formula>AND(ISNUMBER(F34),F34&gt;INSP_G)</formula>
    </cfRule>
    <cfRule type="expression" priority="287" aboveAverage="0" equalAverage="0" bottom="0" percent="0" rank="0" text="" dxfId="2">
      <formula>AND(ISNUMBER(F34),F34&lt;=INSP_G,F34&gt;=INSP_R)</formula>
    </cfRule>
    <cfRule type="expression" priority="288" aboveAverage="0" equalAverage="0" bottom="0" percent="0" rank="0" text="" dxfId="0">
      <formula>AND(ISNUMBER(F34),F34&lt;INSP_R)</formula>
    </cfRule>
    <cfRule type="expression" priority="289" aboveAverage="0" equalAverage="0" bottom="0" percent="0" rank="0" text="" dxfId="3">
      <formula>F34="N/A"</formula>
    </cfRule>
  </conditionalFormatting>
  <conditionalFormatting sqref="H34">
    <cfRule type="expression" priority="290" aboveAverage="0" equalAverage="0" bottom="0" percent="0" rank="0" text="" dxfId="1">
      <formula>AND(ISNUMBER(H34),H34&gt;LTR_G)</formula>
    </cfRule>
    <cfRule type="expression" priority="291" aboveAverage="0" equalAverage="0" bottom="0" percent="0" rank="0" text="" dxfId="2">
      <formula>AND(ISNUMBER(H34),H34&lt;=LTR_G,H34&gt;=LTR_R)</formula>
    </cfRule>
    <cfRule type="expression" priority="292" aboveAverage="0" equalAverage="0" bottom="0" percent="0" rank="0" text="" dxfId="0">
      <formula>AND(ISNUMBER(H34),H34&lt;LTR_R)</formula>
    </cfRule>
    <cfRule type="expression" priority="293" aboveAverage="0" equalAverage="0" bottom="0" percent="0" rank="0" text="" dxfId="3">
      <formula>H34="N/A"</formula>
    </cfRule>
  </conditionalFormatting>
  <conditionalFormatting sqref="B35">
    <cfRule type="expression" priority="294" aboveAverage="0" equalAverage="0" bottom="0" percent="0" rank="0" text="" dxfId="1">
      <formula>AND(ISNUMBER(B35),B35&lt;=NCR_G)</formula>
    </cfRule>
    <cfRule type="expression" priority="295" aboveAverage="0" equalAverage="0" bottom="0" percent="0" rank="0" text="" dxfId="2">
      <formula>AND(ISNUMBER(B35),B35&gt;NCR_G,B35&lt;NCR_R)</formula>
    </cfRule>
    <cfRule type="expression" priority="296" aboveAverage="0" equalAverage="0" bottom="0" percent="0" rank="0" text="" dxfId="0">
      <formula>AND(ISNUMBER(B35),B35&gt;=NCR_R)</formula>
    </cfRule>
    <cfRule type="expression" priority="297" aboveAverage="0" equalAverage="0" bottom="0" percent="0" rank="0" text="" dxfId="3">
      <formula>B35="N/A"</formula>
    </cfRule>
  </conditionalFormatting>
  <conditionalFormatting sqref="D35">
    <cfRule type="expression" priority="298" aboveAverage="0" equalAverage="0" bottom="0" percent="0" rank="0" text="" dxfId="1">
      <formula>AND(ISNUMBER(D35),D35&gt;EQ_G)</formula>
    </cfRule>
    <cfRule type="expression" priority="299" aboveAverage="0" equalAverage="0" bottom="0" percent="0" rank="0" text="" dxfId="2">
      <formula>AND(ISNUMBER(D35),D35&lt;=EQ_G,D35&gt;=EQ_R)</formula>
    </cfRule>
    <cfRule type="expression" priority="300" aboveAverage="0" equalAverage="0" bottom="0" percent="0" rank="0" text="" dxfId="0">
      <formula>AND(ISNUMBER(D35),D35&lt;EQ_R)</formula>
    </cfRule>
    <cfRule type="expression" priority="301" aboveAverage="0" equalAverage="0" bottom="0" percent="0" rank="0" text="" dxfId="3">
      <formula>D35="N/A"</formula>
    </cfRule>
  </conditionalFormatting>
  <conditionalFormatting sqref="F35">
    <cfRule type="expression" priority="302" aboveAverage="0" equalAverage="0" bottom="0" percent="0" rank="0" text="" dxfId="1">
      <formula>AND(ISNUMBER(F35),F35&gt;INSP_G)</formula>
    </cfRule>
    <cfRule type="expression" priority="303" aboveAverage="0" equalAverage="0" bottom="0" percent="0" rank="0" text="" dxfId="2">
      <formula>AND(ISNUMBER(F35),F35&lt;=INSP_G,F35&gt;=INSP_R)</formula>
    </cfRule>
    <cfRule type="expression" priority="304" aboveAverage="0" equalAverage="0" bottom="0" percent="0" rank="0" text="" dxfId="0">
      <formula>AND(ISNUMBER(F35),F35&lt;INSP_R)</formula>
    </cfRule>
    <cfRule type="expression" priority="305" aboveAverage="0" equalAverage="0" bottom="0" percent="0" rank="0" text="" dxfId="3">
      <formula>F35="N/A"</formula>
    </cfRule>
  </conditionalFormatting>
  <conditionalFormatting sqref="H35">
    <cfRule type="expression" priority="306" aboveAverage="0" equalAverage="0" bottom="0" percent="0" rank="0" text="" dxfId="1">
      <formula>AND(ISNUMBER(H35),H35&gt;LTR_G)</formula>
    </cfRule>
    <cfRule type="expression" priority="307" aboveAverage="0" equalAverage="0" bottom="0" percent="0" rank="0" text="" dxfId="2">
      <formula>AND(ISNUMBER(H35),H35&lt;=LTR_G,H35&gt;=LTR_R)</formula>
    </cfRule>
    <cfRule type="expression" priority="308" aboveAverage="0" equalAverage="0" bottom="0" percent="0" rank="0" text="" dxfId="0">
      <formula>AND(ISNUMBER(H35),H35&lt;LTR_R)</formula>
    </cfRule>
    <cfRule type="expression" priority="309" aboveAverage="0" equalAverage="0" bottom="0" percent="0" rank="0" text="" dxfId="3">
      <formula>H35="N/A"</formula>
    </cfRule>
  </conditionalFormatting>
  <conditionalFormatting sqref="B36">
    <cfRule type="expression" priority="310" aboveAverage="0" equalAverage="0" bottom="0" percent="0" rank="0" text="" dxfId="1">
      <formula>AND(ISNUMBER(B36),B36&lt;=NCR_G)</formula>
    </cfRule>
    <cfRule type="expression" priority="311" aboveAverage="0" equalAverage="0" bottom="0" percent="0" rank="0" text="" dxfId="2">
      <formula>AND(ISNUMBER(B36),B36&gt;NCR_G,B36&lt;NCR_R)</formula>
    </cfRule>
    <cfRule type="expression" priority="312" aboveAverage="0" equalAverage="0" bottom="0" percent="0" rank="0" text="" dxfId="0">
      <formula>AND(ISNUMBER(B36),B36&gt;=NCR_R)</formula>
    </cfRule>
    <cfRule type="expression" priority="313" aboveAverage="0" equalAverage="0" bottom="0" percent="0" rank="0" text="" dxfId="3">
      <formula>B36="N/A"</formula>
    </cfRule>
  </conditionalFormatting>
  <conditionalFormatting sqref="D36">
    <cfRule type="expression" priority="314" aboveAverage="0" equalAverage="0" bottom="0" percent="0" rank="0" text="" dxfId="1">
      <formula>AND(ISNUMBER(D36),D36&gt;EQ_G)</formula>
    </cfRule>
    <cfRule type="expression" priority="315" aboveAverage="0" equalAverage="0" bottom="0" percent="0" rank="0" text="" dxfId="2">
      <formula>AND(ISNUMBER(D36),D36&lt;=EQ_G,D36&gt;=EQ_R)</formula>
    </cfRule>
    <cfRule type="expression" priority="316" aboveAverage="0" equalAverage="0" bottom="0" percent="0" rank="0" text="" dxfId="0">
      <formula>AND(ISNUMBER(D36),D36&lt;EQ_R)</formula>
    </cfRule>
    <cfRule type="expression" priority="317" aboveAverage="0" equalAverage="0" bottom="0" percent="0" rank="0" text="" dxfId="3">
      <formula>D36="N/A"</formula>
    </cfRule>
  </conditionalFormatting>
  <conditionalFormatting sqref="F36">
    <cfRule type="expression" priority="318" aboveAverage="0" equalAverage="0" bottom="0" percent="0" rank="0" text="" dxfId="1">
      <formula>AND(ISNUMBER(F36),F36&gt;INSP_G)</formula>
    </cfRule>
    <cfRule type="expression" priority="319" aboveAverage="0" equalAverage="0" bottom="0" percent="0" rank="0" text="" dxfId="2">
      <formula>AND(ISNUMBER(F36),F36&lt;=INSP_G,F36&gt;=INSP_R)</formula>
    </cfRule>
    <cfRule type="expression" priority="320" aboveAverage="0" equalAverage="0" bottom="0" percent="0" rank="0" text="" dxfId="0">
      <formula>AND(ISNUMBER(F36),F36&lt;INSP_R)</formula>
    </cfRule>
    <cfRule type="expression" priority="321" aboveAverage="0" equalAverage="0" bottom="0" percent="0" rank="0" text="" dxfId="3">
      <formula>F36="N/A"</formula>
    </cfRule>
  </conditionalFormatting>
  <conditionalFormatting sqref="H36">
    <cfRule type="expression" priority="322" aboveAverage="0" equalAverage="0" bottom="0" percent="0" rank="0" text="" dxfId="1">
      <formula>AND(ISNUMBER(H36),H36&gt;LTR_G)</formula>
    </cfRule>
    <cfRule type="expression" priority="323" aboveAverage="0" equalAverage="0" bottom="0" percent="0" rank="0" text="" dxfId="2">
      <formula>AND(ISNUMBER(H36),H36&lt;=LTR_G,H36&gt;=LTR_R)</formula>
    </cfRule>
    <cfRule type="expression" priority="324" aboveAverage="0" equalAverage="0" bottom="0" percent="0" rank="0" text="" dxfId="0">
      <formula>AND(ISNUMBER(H36),H36&lt;LTR_R)</formula>
    </cfRule>
    <cfRule type="expression" priority="325" aboveAverage="0" equalAverage="0" bottom="0" percent="0" rank="0" text="" dxfId="3">
      <formula>H36="N/A"</formula>
    </cfRule>
  </conditionalFormatting>
  <conditionalFormatting sqref="B41:C41">
    <cfRule type="expression" priority="326" aboveAverage="0" equalAverage="0" bottom="0" percent="0" rank="0" text="" dxfId="0">
      <formula>$B$41="Red"</formula>
    </cfRule>
    <cfRule type="expression" priority="327" aboveAverage="0" equalAverage="0" bottom="0" percent="0" rank="0" text="" dxfId="1">
      <formula>$B$41="Green"</formula>
    </cfRule>
  </conditionalFormatting>
  <conditionalFormatting sqref="D41:E41">
    <cfRule type="expression" priority="328" aboveAverage="0" equalAverage="0" bottom="0" percent="0" rank="0" text="" dxfId="0">
      <formula>$D$41="Red"</formula>
    </cfRule>
    <cfRule type="expression" priority="329" aboveAverage="0" equalAverage="0" bottom="0" percent="0" rank="0" text="" dxfId="1">
      <formula>$D$41="Green"</formula>
    </cfRule>
  </conditionalFormatting>
  <conditionalFormatting sqref="F41:G41">
    <cfRule type="expression" priority="330" aboveAverage="0" equalAverage="0" bottom="0" percent="0" rank="0" text="" dxfId="0">
      <formula>$F$41="Red"</formula>
    </cfRule>
    <cfRule type="expression" priority="331" aboveAverage="0" equalAverage="0" bottom="0" percent="0" rank="0" text="" dxfId="1">
      <formula>$F$41="Green"</formula>
    </cfRule>
  </conditionalFormatting>
  <conditionalFormatting sqref="H41:I41">
    <cfRule type="expression" priority="332" aboveAverage="0" equalAverage="0" bottom="0" percent="0" rank="0" text="" dxfId="0">
      <formula>$H$41="Red"</formula>
    </cfRule>
    <cfRule type="expression" priority="333" aboveAverage="0" equalAverage="0" bottom="0" percent="0" rank="0" text="" dxfId="1">
      <formula>$H$41="Green"</formula>
    </cfRule>
  </conditionalFormatting>
  <conditionalFormatting sqref="J41:K41">
    <cfRule type="expression" priority="334" aboveAverage="0" equalAverage="0" bottom="0" percent="0" rank="0" text="" dxfId="0">
      <formula>$J$41="Red"</formula>
    </cfRule>
    <cfRule type="expression" priority="335" aboveAverage="0" equalAverage="0" bottom="0" percent="0" rank="0" text="" dxfId="1">
      <formula>$J$41="Green"</formula>
    </cfRule>
  </conditionalFormatting>
  <conditionalFormatting sqref="L41:M41">
    <cfRule type="expression" priority="336" aboveAverage="0" equalAverage="0" bottom="0" percent="0" rank="0" text="" dxfId="0">
      <formula>$L$41="Red"</formula>
    </cfRule>
    <cfRule type="expression" priority="337" aboveAverage="0" equalAverage="0" bottom="0" percent="0" rank="0" text="" dxfId="1">
      <formula>$L$41="Green"</formula>
    </cfRule>
  </conditionalFormatting>
  <conditionalFormatting sqref="B42:C42">
    <cfRule type="expression" priority="338" aboveAverage="0" equalAverage="0" bottom="0" percent="0" rank="0" text="" dxfId="0">
      <formula>$B$42="Red"</formula>
    </cfRule>
    <cfRule type="expression" priority="339" aboveAverage="0" equalAverage="0" bottom="0" percent="0" rank="0" text="" dxfId="1">
      <formula>$B$42="Green"</formula>
    </cfRule>
  </conditionalFormatting>
  <conditionalFormatting sqref="D42:E42">
    <cfRule type="expression" priority="340" aboveAverage="0" equalAverage="0" bottom="0" percent="0" rank="0" text="" dxfId="0">
      <formula>$D$42="Red"</formula>
    </cfRule>
    <cfRule type="expression" priority="341" aboveAverage="0" equalAverage="0" bottom="0" percent="0" rank="0" text="" dxfId="1">
      <formula>$D$42="Green"</formula>
    </cfRule>
  </conditionalFormatting>
  <conditionalFormatting sqref="F42:G42">
    <cfRule type="expression" priority="342" aboveAverage="0" equalAverage="0" bottom="0" percent="0" rank="0" text="" dxfId="0">
      <formula>$F$42="Red"</formula>
    </cfRule>
    <cfRule type="expression" priority="343" aboveAverage="0" equalAverage="0" bottom="0" percent="0" rank="0" text="" dxfId="1">
      <formula>$F$42="Green"</formula>
    </cfRule>
  </conditionalFormatting>
  <conditionalFormatting sqref="H42:I42">
    <cfRule type="expression" priority="344" aboveAverage="0" equalAverage="0" bottom="0" percent="0" rank="0" text="" dxfId="0">
      <formula>$H$42="Red"</formula>
    </cfRule>
    <cfRule type="expression" priority="345" aboveAverage="0" equalAverage="0" bottom="0" percent="0" rank="0" text="" dxfId="1">
      <formula>$H$42="Green"</formula>
    </cfRule>
  </conditionalFormatting>
  <conditionalFormatting sqref="J42:K42">
    <cfRule type="expression" priority="346" aboveAverage="0" equalAverage="0" bottom="0" percent="0" rank="0" text="" dxfId="0">
      <formula>$J$42="Red"</formula>
    </cfRule>
    <cfRule type="expression" priority="347" aboveAverage="0" equalAverage="0" bottom="0" percent="0" rank="0" text="" dxfId="1">
      <formula>$J$42="Green"</formula>
    </cfRule>
  </conditionalFormatting>
  <conditionalFormatting sqref="L42:M42">
    <cfRule type="expression" priority="348" aboveAverage="0" equalAverage="0" bottom="0" percent="0" rank="0" text="" dxfId="0">
      <formula>$L$42="Red"</formula>
    </cfRule>
    <cfRule type="expression" priority="349" aboveAverage="0" equalAverage="0" bottom="0" percent="0" rank="0" text="" dxfId="1">
      <formula>$L$42="Green"</formula>
    </cfRule>
  </conditionalFormatting>
  <dataValidations count="1">
    <dataValidation allowBlank="true" error="Choose Red or Green from the list." errorStyle="stop" errorTitle="Red or Green" operator="between" showDropDown="false" showErrorMessage="true" showInputMessage="false" sqref="B41:B42 D41:D42 F41:F42 H41:H42 J41:J42 L41:L42" type="list">
      <formula1>"Red,Green"</formula1>
      <formula2>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7A"/>
    <pageSetUpPr fitToPage="true"/>
  </sheetPr>
  <dimension ref="A1:M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3" min="2" style="0" width="12"/>
  </cols>
  <sheetData>
    <row r="1" customFormat="false" ht="6" hidden="false" customHeight="true" outlineLevel="0" collapsed="false"/>
    <row r="2" customFormat="false" ht="31.5" hidden="false" customHeight="true" outlineLevel="0" collapsed="false">
      <c r="A2" s="1" t="s">
        <v>84</v>
      </c>
      <c r="B2" s="1"/>
      <c r="C2" s="1"/>
      <c r="D2" s="1"/>
      <c r="E2" s="1"/>
      <c r="F2" s="1"/>
      <c r="G2" s="1"/>
      <c r="H2" s="1"/>
      <c r="I2" s="17" t="str">
        <f aca="false">PeriodText</f>
        <v>Period 7 – 23/10/2026</v>
      </c>
      <c r="J2" s="17"/>
      <c r="K2" s="17"/>
      <c r="L2" s="17"/>
      <c r="M2" s="17"/>
    </row>
    <row r="3" customFormat="false" ht="15.75" hidden="false" customHeight="true" outlineLevel="0" collapsed="false">
      <c r="J3" s="52" t="str">
        <f aca="false">HYPERLINK("#'Alpha'!A70","Go to project data entry ▼")</f>
        <v>Go to project data entry ▼</v>
      </c>
      <c r="K3" s="52"/>
      <c r="L3" s="52"/>
      <c r="M3" s="52"/>
    </row>
    <row r="4" customFormat="false" ht="21.75" hidden="false" customHeight="true" outlineLevel="0" collapsed="false">
      <c r="A4" s="3" t="s">
        <v>40</v>
      </c>
      <c r="B4" s="4"/>
      <c r="C4" s="4"/>
      <c r="D4" s="4"/>
      <c r="E4" s="4"/>
      <c r="F4" s="4"/>
      <c r="G4" s="4"/>
      <c r="H4" s="4"/>
      <c r="I4" s="4"/>
      <c r="J4" s="18" t="s">
        <v>41</v>
      </c>
      <c r="K4" s="19" t="str">
        <f aca="false">"&gt;"&amp;TEXT(PBI_G,"0%")</f>
        <v>&gt;90%</v>
      </c>
      <c r="L4" s="20" t="str">
        <f aca="false">TEXT(PBI_R,"0%")&amp;" – "&amp;TEXT(PBI_G,"0%")</f>
        <v>75% – 90%</v>
      </c>
      <c r="M4" s="21" t="str">
        <f aca="false">"&lt;"&amp;TEXT(PBI_R,"0%")</f>
        <v>&lt;75%</v>
      </c>
    </row>
    <row r="5" customFormat="false" ht="33.75" hidden="false" customHeight="true" outlineLevel="0" collapsed="false">
      <c r="B5" s="14" t="s">
        <v>42</v>
      </c>
      <c r="C5" s="14"/>
      <c r="D5" s="14" t="s">
        <v>43</v>
      </c>
      <c r="E5" s="14"/>
      <c r="F5" s="14" t="s">
        <v>44</v>
      </c>
      <c r="G5" s="14"/>
      <c r="H5" s="14" t="s">
        <v>45</v>
      </c>
      <c r="I5" s="14"/>
      <c r="J5" s="14" t="s">
        <v>46</v>
      </c>
      <c r="K5" s="14"/>
      <c r="L5" s="14" t="s">
        <v>47</v>
      </c>
      <c r="M5" s="14"/>
    </row>
    <row r="6" customFormat="false" ht="21.75" hidden="false" customHeight="true" outlineLevel="0" collapsed="false">
      <c r="A6" s="22" t="str">
        <f aca="false">PrevLbl&amp;" (previous)"</f>
        <v>P6 (previous)</v>
      </c>
      <c r="B6" s="23" t="str">
        <f aca="false">IF(N(C97)=0,"N/A",N(B97)/C97)</f>
        <v>N/A</v>
      </c>
      <c r="C6" s="23"/>
      <c r="D6" s="23" t="str">
        <f aca="false">IF(N(E97)=0,"N/A",N(D97)/E97)</f>
        <v>N/A</v>
      </c>
      <c r="E6" s="23"/>
      <c r="F6" s="23" t="str">
        <f aca="false">IF(N(G97)=0,"N/A",N(F97)/G97)</f>
        <v>N/A</v>
      </c>
      <c r="G6" s="23"/>
      <c r="H6" s="23" t="str">
        <f aca="false">IF(N(I97)=0,"N/A",N(H97)/I97)</f>
        <v>N/A</v>
      </c>
      <c r="I6" s="23"/>
      <c r="J6" s="23" t="str">
        <f aca="false">IF(N(K97)=0,"N/A",N(J97)/K97)</f>
        <v>N/A</v>
      </c>
      <c r="K6" s="23"/>
      <c r="L6" s="23" t="str">
        <f aca="false">IF(N(M97)=0,"N/A",N(L97)/M97)</f>
        <v>N/A</v>
      </c>
      <c r="M6" s="23"/>
    </row>
    <row r="7" customFormat="false" ht="15" hidden="false" customHeight="true" outlineLevel="0" collapsed="false">
      <c r="B7" s="24" t="str">
        <f aca="false">IF(N(C97)=0,"",N(B97)&amp;"/"&amp;C97)</f>
        <v/>
      </c>
      <c r="C7" s="24"/>
      <c r="D7" s="24" t="str">
        <f aca="false">IF(N(E97)=0,"",N(D97)&amp;"/"&amp;E97)</f>
        <v/>
      </c>
      <c r="E7" s="24"/>
      <c r="F7" s="24" t="str">
        <f aca="false">IF(N(G97)=0,"",N(F97)&amp;"/"&amp;G97)</f>
        <v/>
      </c>
      <c r="G7" s="24"/>
      <c r="H7" s="24" t="str">
        <f aca="false">IF(N(I97)=0,"",N(H97)&amp;"/"&amp;I97)</f>
        <v/>
      </c>
      <c r="I7" s="24"/>
      <c r="J7" s="24" t="str">
        <f aca="false">IF(N(K97)=0,"",N(J97)&amp;"/"&amp;K97)</f>
        <v/>
      </c>
      <c r="K7" s="24"/>
      <c r="L7" s="24" t="str">
        <f aca="false">IF(N(M97)=0,"",N(L97)&amp;"/"&amp;M97)</f>
        <v/>
      </c>
      <c r="M7" s="24"/>
    </row>
    <row r="8" customFormat="false" ht="15" hidden="false" customHeight="true" outlineLevel="0" collapsed="false">
      <c r="B8" s="25" t="str">
        <f aca="false">IF(NOT(ISNUMBER(B6)),"N/A",IF(B6&gt;PBI_G,"Green",IF(B6&lt;PBI_R,"Red","Amber")))</f>
        <v>N/A</v>
      </c>
      <c r="C8" s="25"/>
      <c r="D8" s="25" t="str">
        <f aca="false">IF(NOT(ISNUMBER(D6)),"N/A",IF(D6&gt;PBI_G,"Green",IF(D6&lt;PBI_R,"Red","Amber")))</f>
        <v>N/A</v>
      </c>
      <c r="E8" s="25"/>
      <c r="F8" s="25" t="str">
        <f aca="false">IF(NOT(ISNUMBER(F6)),"N/A",IF(F6&gt;PBI_G,"Green",IF(F6&lt;PBI_R,"Red","Amber")))</f>
        <v>N/A</v>
      </c>
      <c r="G8" s="25"/>
      <c r="H8" s="25" t="str">
        <f aca="false">IF(NOT(ISNUMBER(H6)),"N/A",IF(H6&gt;PBI_G,"Green",IF(H6&lt;PBI_R,"Red","Amber")))</f>
        <v>N/A</v>
      </c>
      <c r="I8" s="25"/>
      <c r="J8" s="25" t="str">
        <f aca="false">IF(NOT(ISNUMBER(J6)),"N/A",IF(J6&gt;PBI_G,"Green",IF(J6&lt;PBI_R,"Red","Amber")))</f>
        <v>N/A</v>
      </c>
      <c r="K8" s="25"/>
      <c r="L8" s="25" t="str">
        <f aca="false">IF(NOT(ISNUMBER(L6)),"N/A",IF(L6&gt;PBI_G,"Green",IF(L6&lt;PBI_R,"Red","Amber")))</f>
        <v>N/A</v>
      </c>
      <c r="M8" s="25"/>
    </row>
    <row r="9" customFormat="false" ht="6" hidden="false" customHeight="true" outlineLevel="0" collapsed="false"/>
    <row r="10" customFormat="false" ht="36" hidden="false" customHeight="true" outlineLevel="0" collapsed="false">
      <c r="A10" s="26" t="str">
        <f aca="false">CurLbl&amp;" (current)"</f>
        <v>P7 (current)</v>
      </c>
      <c r="B10" s="27" t="str">
        <f aca="false">IF(N(C84)=0,"N/A",N(B84)/C84)</f>
        <v>N/A</v>
      </c>
      <c r="C10" s="27"/>
      <c r="D10" s="27" t="str">
        <f aca="false">IF(N(E84)=0,"N/A",N(D84)/E84)</f>
        <v>N/A</v>
      </c>
      <c r="E10" s="27"/>
      <c r="F10" s="27" t="str">
        <f aca="false">IF(N(G84)=0,"N/A",N(F84)/G84)</f>
        <v>N/A</v>
      </c>
      <c r="G10" s="27"/>
      <c r="H10" s="27" t="str">
        <f aca="false">IF(N(I84)=0,"N/A",N(H84)/I84)</f>
        <v>N/A</v>
      </c>
      <c r="I10" s="27"/>
      <c r="J10" s="27" t="str">
        <f aca="false">IF(N(K84)=0,"N/A",N(J84)/K84)</f>
        <v>N/A</v>
      </c>
      <c r="K10" s="27"/>
      <c r="L10" s="27" t="str">
        <f aca="false">IF(N(M84)=0,"N/A",N(L84)/M84)</f>
        <v>N/A</v>
      </c>
      <c r="M10" s="27"/>
    </row>
    <row r="11" customFormat="false" ht="15.75" hidden="false" customHeight="true" outlineLevel="0" collapsed="false">
      <c r="B11" s="24" t="str">
        <f aca="false">IF(N(C84)=0,"",N(B84)&amp;"/"&amp;C84)</f>
        <v/>
      </c>
      <c r="C11" s="24"/>
      <c r="D11" s="24" t="str">
        <f aca="false">IF(N(E84)=0,"",N(D84)&amp;"/"&amp;E84)</f>
        <v/>
      </c>
      <c r="E11" s="24"/>
      <c r="F11" s="24" t="str">
        <f aca="false">IF(N(G84)=0,"",N(F84)&amp;"/"&amp;G84)</f>
        <v/>
      </c>
      <c r="G11" s="24"/>
      <c r="H11" s="24" t="str">
        <f aca="false">IF(N(I84)=0,"",N(H84)&amp;"/"&amp;I84)</f>
        <v/>
      </c>
      <c r="I11" s="24"/>
      <c r="J11" s="24" t="str">
        <f aca="false">IF(N(K84)=0,"",N(J84)&amp;"/"&amp;K84)</f>
        <v/>
      </c>
      <c r="K11" s="24"/>
      <c r="L11" s="24" t="str">
        <f aca="false">IF(N(M84)=0,"",N(L84)&amp;"/"&amp;M84)</f>
        <v/>
      </c>
      <c r="M11" s="24"/>
    </row>
    <row r="12" customFormat="false" ht="15.75" hidden="false" customHeight="true" outlineLevel="0" collapsed="false">
      <c r="B12" s="25" t="str">
        <f aca="false">IF(NOT(ISNUMBER(B10)),"N/A",IF(B10&gt;PBI_G,"Green",IF(B10&lt;PBI_R,"Red","Amber")))</f>
        <v>N/A</v>
      </c>
      <c r="C12" s="25"/>
      <c r="D12" s="25" t="str">
        <f aca="false">IF(NOT(ISNUMBER(D10)),"N/A",IF(D10&gt;PBI_G,"Green",IF(D10&lt;PBI_R,"Red","Amber")))</f>
        <v>N/A</v>
      </c>
      <c r="E12" s="25"/>
      <c r="F12" s="25" t="str">
        <f aca="false">IF(NOT(ISNUMBER(F10)),"N/A",IF(F10&gt;PBI_G,"Green",IF(F10&lt;PBI_R,"Red","Amber")))</f>
        <v>N/A</v>
      </c>
      <c r="G12" s="25"/>
      <c r="H12" s="25" t="str">
        <f aca="false">IF(NOT(ISNUMBER(H10)),"N/A",IF(H10&gt;PBI_G,"Green",IF(H10&lt;PBI_R,"Red","Amber")))</f>
        <v>N/A</v>
      </c>
      <c r="I12" s="25"/>
      <c r="J12" s="25" t="str">
        <f aca="false">IF(NOT(ISNUMBER(J10)),"N/A",IF(J10&gt;PBI_G,"Green",IF(J10&lt;PBI_R,"Red","Amber")))</f>
        <v>N/A</v>
      </c>
      <c r="K12" s="25"/>
      <c r="L12" s="25" t="str">
        <f aca="false">IF(NOT(ISNUMBER(L10)),"N/A",IF(L10&gt;PBI_G,"Green",IF(L10&lt;PBI_R,"Red","Amber")))</f>
        <v>N/A</v>
      </c>
      <c r="M12" s="25"/>
    </row>
    <row r="13" customFormat="false" ht="15.75" hidden="false" customHeight="true" outlineLevel="0" collapsed="false">
      <c r="A13" s="28" t="s">
        <v>48</v>
      </c>
      <c r="B13" s="29" t="str">
        <f aca="false">IF(OR(NOT(ISNUMBER(B6)),NOT(ISNUMBER(B10))),"–",IF(ROUND(B10-B6,4)&gt;0,"▲ ",IF(ROUND(B10-B6,4)&lt;0,"▼ ","► "))&amp;TEXT(ABS(B10-B6)*100,"0.0")&amp;" pts vs "&amp;PrevLbl)</f>
        <v>–</v>
      </c>
      <c r="C13" s="29"/>
      <c r="D13" s="29" t="str">
        <f aca="false">IF(OR(NOT(ISNUMBER(D6)),NOT(ISNUMBER(D10))),"–",IF(ROUND(D10-D6,4)&gt;0,"▲ ",IF(ROUND(D10-D6,4)&lt;0,"▼ ","► "))&amp;TEXT(ABS(D10-D6)*100,"0.0")&amp;" pts vs "&amp;PrevLbl)</f>
        <v>–</v>
      </c>
      <c r="E13" s="29"/>
      <c r="F13" s="29" t="str">
        <f aca="false">IF(OR(NOT(ISNUMBER(F6)),NOT(ISNUMBER(F10))),"–",IF(ROUND(F10-F6,4)&gt;0,"▲ ",IF(ROUND(F10-F6,4)&lt;0,"▼ ","► "))&amp;TEXT(ABS(F10-F6)*100,"0.0")&amp;" pts vs "&amp;PrevLbl)</f>
        <v>–</v>
      </c>
      <c r="G13" s="29"/>
      <c r="H13" s="29" t="str">
        <f aca="false">IF(OR(NOT(ISNUMBER(H6)),NOT(ISNUMBER(H10))),"–",IF(ROUND(H10-H6,4)&gt;0,"▲ ",IF(ROUND(H10-H6,4)&lt;0,"▼ ","► "))&amp;TEXT(ABS(H10-H6)*100,"0.0")&amp;" pts vs "&amp;PrevLbl)</f>
        <v>–</v>
      </c>
      <c r="I13" s="29"/>
      <c r="J13" s="29" t="str">
        <f aca="false">IF(OR(NOT(ISNUMBER(J6)),NOT(ISNUMBER(J10))),"–",IF(ROUND(J10-J6,4)&gt;0,"▲ ",IF(ROUND(J10-J6,4)&lt;0,"▼ ","► "))&amp;TEXT(ABS(J10-J6)*100,"0.0")&amp;" pts vs "&amp;PrevLbl)</f>
        <v>–</v>
      </c>
      <c r="K13" s="29"/>
      <c r="L13" s="29" t="str">
        <f aca="false">IF(OR(NOT(ISNUMBER(L6)),NOT(ISNUMBER(L10))),"–",IF(ROUND(L10-L6,4)&gt;0,"▲ ",IF(ROUND(L10-L6,4)&lt;0,"▼ ","► "))&amp;TEXT(ABS(L10-L6)*100,"0.0")&amp;" pts vs "&amp;PrevLbl)</f>
        <v>–</v>
      </c>
      <c r="M13" s="29"/>
    </row>
    <row r="14" customFormat="false" ht="9.75" hidden="false" customHeight="true" outlineLevel="0" collapsed="false"/>
    <row r="15" customFormat="false" ht="21.75" hidden="false" customHeight="true" outlineLevel="0" collapsed="false">
      <c r="A15" s="3" t="s">
        <v>49</v>
      </c>
      <c r="B15" s="4"/>
      <c r="C15" s="4"/>
      <c r="D15" s="4"/>
      <c r="E15" s="4"/>
      <c r="F15" s="4"/>
      <c r="G15" s="4"/>
      <c r="H15" s="4"/>
      <c r="I15" s="4"/>
    </row>
    <row r="16" customFormat="false" ht="33.75" hidden="false" customHeight="true" outlineLevel="0" collapsed="false">
      <c r="B16" s="14" t="s">
        <v>50</v>
      </c>
      <c r="C16" s="14"/>
      <c r="D16" s="14" t="s">
        <v>51</v>
      </c>
      <c r="E16" s="14"/>
      <c r="F16" s="14" t="s">
        <v>52</v>
      </c>
      <c r="G16" s="14"/>
      <c r="H16" s="14" t="s">
        <v>53</v>
      </c>
      <c r="I16" s="14"/>
      <c r="J16" s="30" t="s">
        <v>85</v>
      </c>
      <c r="K16" s="30"/>
      <c r="L16" s="30"/>
      <c r="M16" s="30"/>
    </row>
    <row r="17" customFormat="false" ht="30" hidden="false" customHeight="true" outlineLevel="0" collapsed="false">
      <c r="B17" s="31" t="str">
        <f aca="false">"Green ≤"&amp;NCR_G&amp;" · Amber "&amp;(NCR_G+1)&amp;"–"&amp;(NCR_R-1)&amp;" · Red ≥"&amp;NCR_R</f>
        <v>Green ≤2 · Amber 3–5 · Red ≥6</v>
      </c>
      <c r="C17" s="31"/>
      <c r="D17" s="31" t="str">
        <f aca="false">"Green &gt;"&amp;TEXT(EQ_G,"0%")&amp;" · Amber "&amp;TEXT(EQ_R,"0%")&amp;"–"&amp;TEXT(EQ_G,"0%")&amp;" · Red &lt;"&amp;TEXT(EQ_R,"0%")</f>
        <v>Green &gt;80% · Amber 70%–80% · Red &lt;70%</v>
      </c>
      <c r="E17" s="31"/>
      <c r="F17" s="31" t="str">
        <f aca="false">"Green &gt;"&amp;TEXT(INSP_G,"0%")&amp;" · Amber "&amp;TEXT(INSP_R,"0%")&amp;"–"&amp;TEXT(INSP_G,"0%")&amp;" · Red &lt;"&amp;TEXT(INSP_R,"0%")</f>
        <v>Green &gt;95% · Amber 90%–95% · Red &lt;90%</v>
      </c>
      <c r="G17" s="31"/>
      <c r="H17" s="31" t="str">
        <f aca="false">"Green &gt;"&amp;TEXT(LTR_G,"0%")&amp;" · Amber "&amp;TEXT(LTR_R,"0%")&amp;"–"&amp;TEXT(LTR_G,"0%")&amp;" · Red &lt;"&amp;TEXT(LTR_R,"0%")</f>
        <v>Green &gt;95% · Amber 70%–95% · Red &lt;70%</v>
      </c>
      <c r="I17" s="31"/>
      <c r="J17" s="32"/>
      <c r="K17" s="32"/>
      <c r="L17" s="32"/>
      <c r="M17" s="32"/>
    </row>
    <row r="18" customFormat="false" ht="36" hidden="false" customHeight="true" outlineLevel="0" collapsed="false">
      <c r="A18" s="26" t="str">
        <f aca="false">CurLbl&amp;" (current)"</f>
        <v>P7 (current)</v>
      </c>
      <c r="B18" s="33" t="str">
        <f aca="false">IF(ISNUMBER(B110),B110,"N/A")</f>
        <v>N/A</v>
      </c>
      <c r="C18" s="33"/>
      <c r="D18" s="27" t="str">
        <f aca="false">IF(N(E110)=0,"N/A",N(D110)/E110)</f>
        <v>N/A</v>
      </c>
      <c r="E18" s="27"/>
      <c r="F18" s="27" t="str">
        <f aca="false">IF(N(G110)=0,"N/A",N(F110)/G110)</f>
        <v>N/A</v>
      </c>
      <c r="G18" s="27"/>
      <c r="H18" s="27" t="str">
        <f aca="false">IF(N(I110)=0,"N/A",N(H110)/I110)</f>
        <v>N/A</v>
      </c>
      <c r="I18" s="27"/>
      <c r="J18" s="32"/>
      <c r="K18" s="32"/>
      <c r="L18" s="32"/>
      <c r="M18" s="32"/>
    </row>
    <row r="19" customFormat="false" ht="15.75" hidden="false" customHeight="true" outlineLevel="0" collapsed="false">
      <c r="B19" s="24" t="str">
        <f aca="false">IF(ISNUMBER(B110),"live NCRs","")</f>
        <v/>
      </c>
      <c r="C19" s="24"/>
      <c r="D19" s="24" t="str">
        <f aca="false">IF(N(E110)=0,"",N(D110)&amp;"/"&amp;E110)</f>
        <v/>
      </c>
      <c r="E19" s="24"/>
      <c r="F19" s="24" t="str">
        <f aca="false">IF(N(G110)=0,"",N(F110)&amp;"/"&amp;G110)</f>
        <v/>
      </c>
      <c r="G19" s="24"/>
      <c r="H19" s="24" t="str">
        <f aca="false">IF(N(I110)=0,"",N(H110)&amp;"/"&amp;I110)</f>
        <v/>
      </c>
      <c r="I19" s="24"/>
      <c r="J19" s="32"/>
      <c r="K19" s="32"/>
      <c r="L19" s="32"/>
      <c r="M19" s="32"/>
    </row>
    <row r="20" customFormat="false" ht="15.75" hidden="false" customHeight="true" outlineLevel="0" collapsed="false">
      <c r="B20" s="25" t="str">
        <f aca="false">IF(NOT(ISNUMBER(B18)),"N/A",IF(B18&lt;=NCR_G,"Green",IF(B18&gt;=NCR_R,"Red","Amber")))</f>
        <v>N/A</v>
      </c>
      <c r="C20" s="25"/>
      <c r="D20" s="25" t="str">
        <f aca="false">IF(NOT(ISNUMBER(D18)),"N/A",IF(D18&gt;EQ_G,"Green",IF(D18&lt;EQ_R,"Red","Amber")))</f>
        <v>N/A</v>
      </c>
      <c r="E20" s="25"/>
      <c r="F20" s="25" t="str">
        <f aca="false">IF(NOT(ISNUMBER(F18)),"N/A",IF(F18&gt;INSP_G,"Green",IF(F18&lt;INSP_R,"Red","Amber")))</f>
        <v>N/A</v>
      </c>
      <c r="G20" s="25"/>
      <c r="H20" s="25" t="str">
        <f aca="false">IF(NOT(ISNUMBER(H18)),"N/A",IF(H18&gt;LTR_G,"Green",IF(H18&lt;LTR_R,"Red","Amber")))</f>
        <v>N/A</v>
      </c>
      <c r="I20" s="25"/>
      <c r="J20" s="32"/>
      <c r="K20" s="32"/>
      <c r="L20" s="32"/>
      <c r="M20" s="32"/>
    </row>
    <row r="21" customFormat="false" ht="9.75" hidden="false" customHeight="true" outlineLevel="0" collapsed="false">
      <c r="J21" s="32"/>
      <c r="K21" s="32"/>
      <c r="L21" s="32"/>
      <c r="M21" s="32"/>
    </row>
    <row r="22" customFormat="false" ht="21.75" hidden="false" customHeight="true" outlineLevel="0" collapsed="false">
      <c r="A22" s="3" t="s">
        <v>86</v>
      </c>
      <c r="B22" s="4"/>
      <c r="C22" s="4"/>
      <c r="D22" s="4"/>
      <c r="E22" s="4"/>
      <c r="F22" s="4"/>
      <c r="G22" s="4"/>
      <c r="H22" s="4"/>
      <c r="I22" s="4"/>
      <c r="J22" s="32"/>
      <c r="K22" s="32"/>
      <c r="L22" s="32"/>
      <c r="M22" s="32"/>
    </row>
    <row r="23" customFormat="false" ht="15" hidden="false" customHeight="true" outlineLevel="0" collapsed="false">
      <c r="A23" s="36" t="s">
        <v>25</v>
      </c>
      <c r="B23" s="14" t="s">
        <v>87</v>
      </c>
      <c r="C23" s="14"/>
      <c r="D23" s="14" t="s">
        <v>51</v>
      </c>
      <c r="E23" s="14"/>
      <c r="F23" s="14" t="s">
        <v>52</v>
      </c>
      <c r="G23" s="14"/>
      <c r="H23" s="14" t="s">
        <v>53</v>
      </c>
      <c r="I23" s="14"/>
      <c r="J23" s="32"/>
      <c r="K23" s="32"/>
      <c r="L23" s="32"/>
      <c r="M23" s="32"/>
    </row>
    <row r="24" customFormat="false" ht="31.5" hidden="false" customHeight="true" outlineLevel="0" collapsed="false">
      <c r="A24" s="46" t="s">
        <v>88</v>
      </c>
      <c r="B24" s="45"/>
      <c r="C24" s="45"/>
      <c r="D24" s="45"/>
      <c r="E24" s="45"/>
      <c r="F24" s="45"/>
      <c r="G24" s="45"/>
      <c r="H24" s="45"/>
      <c r="I24" s="45"/>
      <c r="J24" s="32"/>
      <c r="K24" s="32"/>
      <c r="L24" s="32"/>
      <c r="M24" s="32"/>
    </row>
    <row r="25" customFormat="false" ht="31.5" hidden="false" customHeight="true" outlineLevel="0" collapsed="false">
      <c r="A25" s="46" t="str">
        <f aca="false">IF($A$76="","",$A$76)</f>
        <v>B203</v>
      </c>
      <c r="B25" s="45"/>
      <c r="C25" s="45"/>
      <c r="D25" s="45"/>
      <c r="E25" s="45"/>
      <c r="F25" s="45"/>
      <c r="G25" s="45"/>
      <c r="H25" s="45"/>
      <c r="I25" s="45"/>
      <c r="J25" s="32"/>
      <c r="K25" s="32"/>
      <c r="L25" s="32"/>
      <c r="M25" s="32"/>
    </row>
    <row r="26" customFormat="false" ht="31.5" hidden="false" customHeight="true" outlineLevel="0" collapsed="false">
      <c r="A26" s="46" t="str">
        <f aca="false">IF($A$77="","",$A$77)</f>
        <v>B277</v>
      </c>
      <c r="B26" s="45"/>
      <c r="C26" s="45"/>
      <c r="D26" s="45"/>
      <c r="E26" s="45"/>
      <c r="F26" s="45"/>
      <c r="G26" s="45"/>
      <c r="H26" s="45"/>
      <c r="I26" s="45"/>
      <c r="J26" s="32"/>
      <c r="K26" s="32"/>
      <c r="L26" s="32"/>
      <c r="M26" s="32"/>
    </row>
    <row r="27" customFormat="false" ht="31.5" hidden="false" customHeight="true" outlineLevel="0" collapsed="false">
      <c r="A27" s="46" t="str">
        <f aca="false">IF($A$78="","",$A$78)</f>
        <v>B242</v>
      </c>
      <c r="B27" s="45"/>
      <c r="C27" s="45"/>
      <c r="D27" s="45"/>
      <c r="E27" s="45"/>
      <c r="F27" s="45"/>
      <c r="G27" s="45"/>
      <c r="H27" s="45"/>
      <c r="I27" s="45"/>
      <c r="J27" s="32"/>
      <c r="K27" s="32"/>
      <c r="L27" s="32"/>
      <c r="M27" s="32"/>
    </row>
    <row r="28" customFormat="false" ht="31.5" hidden="false" customHeight="true" outlineLevel="0" collapsed="false">
      <c r="A28" s="46" t="str">
        <f aca="false">IF($A$79="","",$A$79)</f>
        <v>B33</v>
      </c>
      <c r="B28" s="45"/>
      <c r="C28" s="45"/>
      <c r="D28" s="45"/>
      <c r="E28" s="45"/>
      <c r="F28" s="45"/>
      <c r="G28" s="45"/>
      <c r="H28" s="45"/>
      <c r="I28" s="45"/>
      <c r="J28" s="32"/>
      <c r="K28" s="32"/>
      <c r="L28" s="32"/>
      <c r="M28" s="32"/>
    </row>
    <row r="29" customFormat="false" ht="31.5" hidden="false" customHeight="true" outlineLevel="0" collapsed="false">
      <c r="A29" s="46" t="str">
        <f aca="false">IF($A$80="","",$A$80)</f>
        <v>B229</v>
      </c>
      <c r="B29" s="45"/>
      <c r="C29" s="45"/>
      <c r="D29" s="45"/>
      <c r="E29" s="45"/>
      <c r="F29" s="45"/>
      <c r="G29" s="45"/>
      <c r="H29" s="45"/>
      <c r="I29" s="45"/>
      <c r="J29" s="32"/>
      <c r="K29" s="32"/>
      <c r="L29" s="32"/>
      <c r="M29" s="32"/>
    </row>
    <row r="30" customFormat="false" ht="31.5" hidden="false" customHeight="true" outlineLevel="0" collapsed="false">
      <c r="A30" s="46" t="str">
        <f aca="false">IF($A$81="","",$A$81)</f>
        <v>NGC</v>
      </c>
      <c r="B30" s="45"/>
      <c r="C30" s="45"/>
      <c r="D30" s="45"/>
      <c r="E30" s="45"/>
      <c r="F30" s="45"/>
      <c r="G30" s="45"/>
      <c r="H30" s="45"/>
      <c r="I30" s="45"/>
      <c r="J30" s="32"/>
      <c r="K30" s="32"/>
      <c r="L30" s="32"/>
      <c r="M30" s="32"/>
    </row>
    <row r="31" customFormat="false" ht="31.5" hidden="false" customHeight="true" outlineLevel="0" collapsed="false">
      <c r="A31" s="46" t="str">
        <f aca="false">IF($A$82="","",$A$82)</f>
        <v/>
      </c>
      <c r="B31" s="45"/>
      <c r="C31" s="45"/>
      <c r="D31" s="45"/>
      <c r="E31" s="45"/>
      <c r="F31" s="45"/>
      <c r="G31" s="45"/>
      <c r="H31" s="45"/>
      <c r="I31" s="45"/>
      <c r="J31" s="32"/>
      <c r="K31" s="32"/>
      <c r="L31" s="32"/>
      <c r="M31" s="32"/>
    </row>
    <row r="32" customFormat="false" ht="31.5" hidden="false" customHeight="true" outlineLevel="0" collapsed="false">
      <c r="A32" s="46" t="str">
        <f aca="false">IF($A$83="","",$A$83)</f>
        <v/>
      </c>
      <c r="B32" s="45"/>
      <c r="C32" s="45"/>
      <c r="D32" s="45"/>
      <c r="E32" s="45"/>
      <c r="F32" s="45"/>
      <c r="G32" s="45"/>
      <c r="H32" s="45"/>
      <c r="I32" s="45"/>
      <c r="J32" s="32"/>
      <c r="K32" s="32"/>
      <c r="L32" s="32"/>
      <c r="M32" s="32"/>
    </row>
    <row r="34" customFormat="false" ht="21.75" hidden="false" customHeight="true" outlineLevel="0" collapsed="false">
      <c r="A34" s="3" t="s">
        <v>89</v>
      </c>
      <c r="B34" s="4"/>
      <c r="C34" s="4"/>
      <c r="D34" s="4"/>
      <c r="E34" s="4"/>
      <c r="F34" s="4"/>
      <c r="G34" s="4"/>
      <c r="H34" s="4"/>
      <c r="I34" s="4"/>
      <c r="J34" s="4"/>
      <c r="K34" s="4"/>
      <c r="L34" s="4"/>
      <c r="M34" s="4"/>
    </row>
    <row r="35" customFormat="false" ht="15" hidden="false" customHeight="true" outlineLevel="0" collapsed="false">
      <c r="A35" s="36" t="s">
        <v>90</v>
      </c>
      <c r="B35" s="30" t="s">
        <v>76</v>
      </c>
      <c r="C35" s="30"/>
      <c r="D35" s="30"/>
      <c r="E35" s="30" t="s">
        <v>77</v>
      </c>
      <c r="F35" s="30"/>
      <c r="G35" s="30"/>
      <c r="H35" s="30" t="s">
        <v>78</v>
      </c>
      <c r="I35" s="30"/>
      <c r="J35" s="30"/>
      <c r="K35" s="30" t="s">
        <v>79</v>
      </c>
      <c r="L35" s="30"/>
      <c r="M35" s="30"/>
    </row>
    <row r="36" customFormat="false" ht="39.75" hidden="false" customHeight="true" outlineLevel="0" collapsed="false">
      <c r="A36" s="46" t="s">
        <v>91</v>
      </c>
      <c r="B36" s="45"/>
      <c r="C36" s="45"/>
      <c r="D36" s="45"/>
      <c r="E36" s="45"/>
      <c r="F36" s="45"/>
      <c r="G36" s="45"/>
      <c r="H36" s="45"/>
      <c r="I36" s="45"/>
      <c r="J36" s="45"/>
      <c r="K36" s="45"/>
      <c r="L36" s="45"/>
      <c r="M36" s="45"/>
    </row>
    <row r="37" customFormat="false" ht="39.75" hidden="false" customHeight="true" outlineLevel="0" collapsed="false">
      <c r="A37" s="46" t="str">
        <f aca="false">IF($A$76="","",$A$76)</f>
        <v>B203</v>
      </c>
      <c r="B37" s="45"/>
      <c r="C37" s="45"/>
      <c r="D37" s="45"/>
      <c r="E37" s="45"/>
      <c r="F37" s="45"/>
      <c r="G37" s="45"/>
      <c r="H37" s="45"/>
      <c r="I37" s="45"/>
      <c r="J37" s="45"/>
      <c r="K37" s="45"/>
      <c r="L37" s="45"/>
      <c r="M37" s="45"/>
    </row>
    <row r="38" customFormat="false" ht="39.75" hidden="false" customHeight="true" outlineLevel="0" collapsed="false">
      <c r="A38" s="46" t="str">
        <f aca="false">IF($A$77="","",$A$77)</f>
        <v>B277</v>
      </c>
      <c r="B38" s="45"/>
      <c r="C38" s="45"/>
      <c r="D38" s="45"/>
      <c r="E38" s="45"/>
      <c r="F38" s="45"/>
      <c r="G38" s="45"/>
      <c r="H38" s="45"/>
      <c r="I38" s="45"/>
      <c r="J38" s="45"/>
      <c r="K38" s="45"/>
      <c r="L38" s="45"/>
      <c r="M38" s="45"/>
    </row>
    <row r="39" customFormat="false" ht="39.75" hidden="false" customHeight="true" outlineLevel="0" collapsed="false">
      <c r="A39" s="46" t="str">
        <f aca="false">IF($A$78="","",$A$78)</f>
        <v>B242</v>
      </c>
      <c r="B39" s="45"/>
      <c r="C39" s="45"/>
      <c r="D39" s="45"/>
      <c r="E39" s="45"/>
      <c r="F39" s="45"/>
      <c r="G39" s="45"/>
      <c r="H39" s="45"/>
      <c r="I39" s="45"/>
      <c r="J39" s="45"/>
      <c r="K39" s="45"/>
      <c r="L39" s="45"/>
      <c r="M39" s="45"/>
    </row>
    <row r="40" customFormat="false" ht="39.75" hidden="false" customHeight="true" outlineLevel="0" collapsed="false">
      <c r="A40" s="46" t="str">
        <f aca="false">IF($A$79="","",$A$79)</f>
        <v>B33</v>
      </c>
      <c r="B40" s="45"/>
      <c r="C40" s="45"/>
      <c r="D40" s="45"/>
      <c r="E40" s="45"/>
      <c r="F40" s="45"/>
      <c r="G40" s="45"/>
      <c r="H40" s="45"/>
      <c r="I40" s="45"/>
      <c r="J40" s="45"/>
      <c r="K40" s="45"/>
      <c r="L40" s="45"/>
      <c r="M40" s="45"/>
    </row>
    <row r="41" customFormat="false" ht="39.75" hidden="false" customHeight="true" outlineLevel="0" collapsed="false">
      <c r="A41" s="46" t="str">
        <f aca="false">IF($A$80="","",$A$80)</f>
        <v>B229</v>
      </c>
      <c r="B41" s="45"/>
      <c r="C41" s="45"/>
      <c r="D41" s="45"/>
      <c r="E41" s="45"/>
      <c r="F41" s="45"/>
      <c r="G41" s="45"/>
      <c r="H41" s="45"/>
      <c r="I41" s="45"/>
      <c r="J41" s="45"/>
      <c r="K41" s="45"/>
      <c r="L41" s="45"/>
      <c r="M41" s="45"/>
    </row>
    <row r="42" customFormat="false" ht="39.75" hidden="false" customHeight="true" outlineLevel="0" collapsed="false">
      <c r="A42" s="46" t="str">
        <f aca="false">IF($A$81="","",$A$81)</f>
        <v>NGC</v>
      </c>
      <c r="B42" s="45"/>
      <c r="C42" s="45"/>
      <c r="D42" s="45"/>
      <c r="E42" s="45"/>
      <c r="F42" s="45"/>
      <c r="G42" s="45"/>
      <c r="H42" s="45"/>
      <c r="I42" s="45"/>
      <c r="J42" s="45"/>
      <c r="K42" s="45"/>
      <c r="L42" s="45"/>
      <c r="M42" s="45"/>
    </row>
    <row r="43" customFormat="false" ht="39.75" hidden="false" customHeight="true" outlineLevel="0" collapsed="false">
      <c r="A43" s="46" t="str">
        <f aca="false">IF($A$82="","",$A$82)</f>
        <v/>
      </c>
      <c r="B43" s="45"/>
      <c r="C43" s="45"/>
      <c r="D43" s="45"/>
      <c r="E43" s="45"/>
      <c r="F43" s="45"/>
      <c r="G43" s="45"/>
      <c r="H43" s="45"/>
      <c r="I43" s="45"/>
      <c r="J43" s="45"/>
      <c r="K43" s="45"/>
      <c r="L43" s="45"/>
      <c r="M43" s="45"/>
    </row>
    <row r="44" customFormat="false" ht="39.75" hidden="false" customHeight="true" outlineLevel="0" collapsed="false">
      <c r="A44" s="46" t="str">
        <f aca="false">IF($A$83="","",$A$83)</f>
        <v/>
      </c>
      <c r="B44" s="45"/>
      <c r="C44" s="45"/>
      <c r="D44" s="45"/>
      <c r="E44" s="45"/>
      <c r="F44" s="45"/>
      <c r="G44" s="45"/>
      <c r="H44" s="45"/>
      <c r="I44" s="45"/>
      <c r="J44" s="45"/>
      <c r="K44" s="45"/>
      <c r="L44" s="45"/>
      <c r="M44" s="45"/>
    </row>
    <row r="46" customFormat="false" ht="21.75" hidden="false" customHeight="true" outlineLevel="0" collapsed="false">
      <c r="A46" s="3" t="str">
        <f aca="false">"Project performance – current period ("&amp;CurLbl&amp;") – calculated"</f>
        <v>Project performance – current period (P7) – calculated</v>
      </c>
      <c r="B46" s="4"/>
      <c r="C46" s="4"/>
      <c r="D46" s="4"/>
      <c r="E46" s="4"/>
      <c r="F46" s="4"/>
      <c r="G46" s="4"/>
      <c r="H46" s="4"/>
      <c r="I46" s="4"/>
      <c r="J46" s="4"/>
      <c r="K46" s="4"/>
      <c r="L46" s="4"/>
      <c r="M46" s="4"/>
    </row>
    <row r="47" customFormat="false" ht="15" hidden="false" customHeight="false" outlineLevel="0" collapsed="false">
      <c r="A47" s="34" t="s">
        <v>55</v>
      </c>
      <c r="B47" s="35"/>
      <c r="C47" s="35"/>
      <c r="D47" s="35"/>
      <c r="E47" s="35"/>
      <c r="F47" s="35"/>
      <c r="G47" s="35"/>
      <c r="H47" s="35"/>
      <c r="I47" s="35"/>
      <c r="J47" s="35"/>
      <c r="K47" s="35"/>
      <c r="L47" s="35"/>
      <c r="M47" s="35"/>
    </row>
    <row r="48" customFormat="false" ht="30" hidden="false" customHeight="true" outlineLevel="0" collapsed="false">
      <c r="A48" s="36" t="s">
        <v>25</v>
      </c>
      <c r="B48" s="14" t="s">
        <v>42</v>
      </c>
      <c r="C48" s="14"/>
      <c r="D48" s="14" t="s">
        <v>43</v>
      </c>
      <c r="E48" s="14"/>
      <c r="F48" s="14" t="s">
        <v>44</v>
      </c>
      <c r="G48" s="14"/>
      <c r="H48" s="14" t="s">
        <v>45</v>
      </c>
      <c r="I48" s="14"/>
      <c r="J48" s="14" t="s">
        <v>46</v>
      </c>
      <c r="K48" s="14"/>
      <c r="L48" s="14" t="s">
        <v>47</v>
      </c>
      <c r="M48" s="14"/>
    </row>
    <row r="49" customFormat="false" ht="15" hidden="false" customHeight="false" outlineLevel="0" collapsed="false">
      <c r="A49" s="49" t="str">
        <f aca="false">IF($A$76="","",$A$76)</f>
        <v>B203</v>
      </c>
      <c r="B49" s="38" t="str">
        <f aca="false">IF($A49="","",IF(N(C76)=0,"N/A",N(B76)/C76))</f>
        <v>N/A</v>
      </c>
      <c r="C49" s="39" t="str">
        <f aca="false">IF(OR($A49="",N(C76)=0),"",N(B76)&amp;"/"&amp;C76)</f>
        <v/>
      </c>
      <c r="D49" s="38" t="str">
        <f aca="false">IF($A49="","",IF(N(E76)=0,"N/A",N(D76)/E76))</f>
        <v>N/A</v>
      </c>
      <c r="E49" s="39" t="str">
        <f aca="false">IF(OR($A49="",N(E76)=0),"",N(D76)&amp;"/"&amp;E76)</f>
        <v/>
      </c>
      <c r="F49" s="38" t="str">
        <f aca="false">IF($A49="","",IF(N(G76)=0,"N/A",N(F76)/G76))</f>
        <v>N/A</v>
      </c>
      <c r="G49" s="39" t="str">
        <f aca="false">IF(OR($A49="",N(G76)=0),"",N(F76)&amp;"/"&amp;G76)</f>
        <v/>
      </c>
      <c r="H49" s="38" t="str">
        <f aca="false">IF($A49="","",IF(N(I76)=0,"N/A",N(H76)/I76))</f>
        <v>N/A</v>
      </c>
      <c r="I49" s="39" t="str">
        <f aca="false">IF(OR($A49="",N(I76)=0),"",N(H76)&amp;"/"&amp;I76)</f>
        <v/>
      </c>
      <c r="J49" s="38" t="str">
        <f aca="false">IF($A49="","",IF(N(K76)=0,"N/A",N(J76)/K76))</f>
        <v>N/A</v>
      </c>
      <c r="K49" s="39" t="str">
        <f aca="false">IF(OR($A49="",N(K76)=0),"",N(J76)&amp;"/"&amp;K76)</f>
        <v/>
      </c>
      <c r="L49" s="38" t="str">
        <f aca="false">IF($A49="","",IF(N(M76)=0,"N/A",N(L76)/M76))</f>
        <v>N/A</v>
      </c>
      <c r="M49" s="39" t="str">
        <f aca="false">IF(OR($A49="",N(M76)=0),"",N(L76)&amp;"/"&amp;M76)</f>
        <v/>
      </c>
    </row>
    <row r="50" customFormat="false" ht="15" hidden="false" customHeight="false" outlineLevel="0" collapsed="false">
      <c r="A50" s="49" t="str">
        <f aca="false">IF($A$77="","",$A$77)</f>
        <v>B277</v>
      </c>
      <c r="B50" s="38" t="str">
        <f aca="false">IF($A50="","",IF(N(C77)=0,"N/A",N(B77)/C77))</f>
        <v>N/A</v>
      </c>
      <c r="C50" s="39" t="str">
        <f aca="false">IF(OR($A50="",N(C77)=0),"",N(B77)&amp;"/"&amp;C77)</f>
        <v/>
      </c>
      <c r="D50" s="38" t="str">
        <f aca="false">IF($A50="","",IF(N(E77)=0,"N/A",N(D77)/E77))</f>
        <v>N/A</v>
      </c>
      <c r="E50" s="39" t="str">
        <f aca="false">IF(OR($A50="",N(E77)=0),"",N(D77)&amp;"/"&amp;E77)</f>
        <v/>
      </c>
      <c r="F50" s="38" t="str">
        <f aca="false">IF($A50="","",IF(N(G77)=0,"N/A",N(F77)/G77))</f>
        <v>N/A</v>
      </c>
      <c r="G50" s="39" t="str">
        <f aca="false">IF(OR($A50="",N(G77)=0),"",N(F77)&amp;"/"&amp;G77)</f>
        <v/>
      </c>
      <c r="H50" s="38" t="str">
        <f aca="false">IF($A50="","",IF(N(I77)=0,"N/A",N(H77)/I77))</f>
        <v>N/A</v>
      </c>
      <c r="I50" s="39" t="str">
        <f aca="false">IF(OR($A50="",N(I77)=0),"",N(H77)&amp;"/"&amp;I77)</f>
        <v/>
      </c>
      <c r="J50" s="38" t="str">
        <f aca="false">IF($A50="","",IF(N(K77)=0,"N/A",N(J77)/K77))</f>
        <v>N/A</v>
      </c>
      <c r="K50" s="39" t="str">
        <f aca="false">IF(OR($A50="",N(K77)=0),"",N(J77)&amp;"/"&amp;K77)</f>
        <v/>
      </c>
      <c r="L50" s="38" t="str">
        <f aca="false">IF($A50="","",IF(N(M77)=0,"N/A",N(L77)/M77))</f>
        <v>N/A</v>
      </c>
      <c r="M50" s="39" t="str">
        <f aca="false">IF(OR($A50="",N(M77)=0),"",N(L77)&amp;"/"&amp;M77)</f>
        <v/>
      </c>
    </row>
    <row r="51" customFormat="false" ht="15" hidden="false" customHeight="false" outlineLevel="0" collapsed="false">
      <c r="A51" s="49" t="str">
        <f aca="false">IF($A$78="","",$A$78)</f>
        <v>B242</v>
      </c>
      <c r="B51" s="38" t="str">
        <f aca="false">IF($A51="","",IF(N(C78)=0,"N/A",N(B78)/C78))</f>
        <v>N/A</v>
      </c>
      <c r="C51" s="39" t="str">
        <f aca="false">IF(OR($A51="",N(C78)=0),"",N(B78)&amp;"/"&amp;C78)</f>
        <v/>
      </c>
      <c r="D51" s="38" t="str">
        <f aca="false">IF($A51="","",IF(N(E78)=0,"N/A",N(D78)/E78))</f>
        <v>N/A</v>
      </c>
      <c r="E51" s="39" t="str">
        <f aca="false">IF(OR($A51="",N(E78)=0),"",N(D78)&amp;"/"&amp;E78)</f>
        <v/>
      </c>
      <c r="F51" s="38" t="str">
        <f aca="false">IF($A51="","",IF(N(G78)=0,"N/A",N(F78)/G78))</f>
        <v>N/A</v>
      </c>
      <c r="G51" s="39" t="str">
        <f aca="false">IF(OR($A51="",N(G78)=0),"",N(F78)&amp;"/"&amp;G78)</f>
        <v/>
      </c>
      <c r="H51" s="38" t="str">
        <f aca="false">IF($A51="","",IF(N(I78)=0,"N/A",N(H78)/I78))</f>
        <v>N/A</v>
      </c>
      <c r="I51" s="39" t="str">
        <f aca="false">IF(OR($A51="",N(I78)=0),"",N(H78)&amp;"/"&amp;I78)</f>
        <v/>
      </c>
      <c r="J51" s="38" t="str">
        <f aca="false">IF($A51="","",IF(N(K78)=0,"N/A",N(J78)/K78))</f>
        <v>N/A</v>
      </c>
      <c r="K51" s="39" t="str">
        <f aca="false">IF(OR($A51="",N(K78)=0),"",N(J78)&amp;"/"&amp;K78)</f>
        <v/>
      </c>
      <c r="L51" s="38" t="str">
        <f aca="false">IF($A51="","",IF(N(M78)=0,"N/A",N(L78)/M78))</f>
        <v>N/A</v>
      </c>
      <c r="M51" s="39" t="str">
        <f aca="false">IF(OR($A51="",N(M78)=0),"",N(L78)&amp;"/"&amp;M78)</f>
        <v/>
      </c>
    </row>
    <row r="52" customFormat="false" ht="15" hidden="false" customHeight="false" outlineLevel="0" collapsed="false">
      <c r="A52" s="49" t="str">
        <f aca="false">IF($A$79="","",$A$79)</f>
        <v>B33</v>
      </c>
      <c r="B52" s="38" t="str">
        <f aca="false">IF($A52="","",IF(N(C79)=0,"N/A",N(B79)/C79))</f>
        <v>N/A</v>
      </c>
      <c r="C52" s="39" t="str">
        <f aca="false">IF(OR($A52="",N(C79)=0),"",N(B79)&amp;"/"&amp;C79)</f>
        <v/>
      </c>
      <c r="D52" s="38" t="str">
        <f aca="false">IF($A52="","",IF(N(E79)=0,"N/A",N(D79)/E79))</f>
        <v>N/A</v>
      </c>
      <c r="E52" s="39" t="str">
        <f aca="false">IF(OR($A52="",N(E79)=0),"",N(D79)&amp;"/"&amp;E79)</f>
        <v/>
      </c>
      <c r="F52" s="38" t="str">
        <f aca="false">IF($A52="","",IF(N(G79)=0,"N/A",N(F79)/G79))</f>
        <v>N/A</v>
      </c>
      <c r="G52" s="39" t="str">
        <f aca="false">IF(OR($A52="",N(G79)=0),"",N(F79)&amp;"/"&amp;G79)</f>
        <v/>
      </c>
      <c r="H52" s="38" t="str">
        <f aca="false">IF($A52="","",IF(N(I79)=0,"N/A",N(H79)/I79))</f>
        <v>N/A</v>
      </c>
      <c r="I52" s="39" t="str">
        <f aca="false">IF(OR($A52="",N(I79)=0),"",N(H79)&amp;"/"&amp;I79)</f>
        <v/>
      </c>
      <c r="J52" s="38" t="str">
        <f aca="false">IF($A52="","",IF(N(K79)=0,"N/A",N(J79)/K79))</f>
        <v>N/A</v>
      </c>
      <c r="K52" s="39" t="str">
        <f aca="false">IF(OR($A52="",N(K79)=0),"",N(J79)&amp;"/"&amp;K79)</f>
        <v/>
      </c>
      <c r="L52" s="38" t="str">
        <f aca="false">IF($A52="","",IF(N(M79)=0,"N/A",N(L79)/M79))</f>
        <v>N/A</v>
      </c>
      <c r="M52" s="39" t="str">
        <f aca="false">IF(OR($A52="",N(M79)=0),"",N(L79)&amp;"/"&amp;M79)</f>
        <v/>
      </c>
    </row>
    <row r="53" customFormat="false" ht="15" hidden="false" customHeight="false" outlineLevel="0" collapsed="false">
      <c r="A53" s="49" t="str">
        <f aca="false">IF($A$80="","",$A$80)</f>
        <v>B229</v>
      </c>
      <c r="B53" s="38" t="str">
        <f aca="false">IF($A53="","",IF(N(C80)=0,"N/A",N(B80)/C80))</f>
        <v>N/A</v>
      </c>
      <c r="C53" s="39" t="str">
        <f aca="false">IF(OR($A53="",N(C80)=0),"",N(B80)&amp;"/"&amp;C80)</f>
        <v/>
      </c>
      <c r="D53" s="38" t="str">
        <f aca="false">IF($A53="","",IF(N(E80)=0,"N/A",N(D80)/E80))</f>
        <v>N/A</v>
      </c>
      <c r="E53" s="39" t="str">
        <f aca="false">IF(OR($A53="",N(E80)=0),"",N(D80)&amp;"/"&amp;E80)</f>
        <v/>
      </c>
      <c r="F53" s="38" t="str">
        <f aca="false">IF($A53="","",IF(N(G80)=0,"N/A",N(F80)/G80))</f>
        <v>N/A</v>
      </c>
      <c r="G53" s="39" t="str">
        <f aca="false">IF(OR($A53="",N(G80)=0),"",N(F80)&amp;"/"&amp;G80)</f>
        <v/>
      </c>
      <c r="H53" s="38" t="str">
        <f aca="false">IF($A53="","",IF(N(I80)=0,"N/A",N(H80)/I80))</f>
        <v>N/A</v>
      </c>
      <c r="I53" s="39" t="str">
        <f aca="false">IF(OR($A53="",N(I80)=0),"",N(H80)&amp;"/"&amp;I80)</f>
        <v/>
      </c>
      <c r="J53" s="38" t="str">
        <f aca="false">IF($A53="","",IF(N(K80)=0,"N/A",N(J80)/K80))</f>
        <v>N/A</v>
      </c>
      <c r="K53" s="39" t="str">
        <f aca="false">IF(OR($A53="",N(K80)=0),"",N(J80)&amp;"/"&amp;K80)</f>
        <v/>
      </c>
      <c r="L53" s="38" t="str">
        <f aca="false">IF($A53="","",IF(N(M80)=0,"N/A",N(L80)/M80))</f>
        <v>N/A</v>
      </c>
      <c r="M53" s="39" t="str">
        <f aca="false">IF(OR($A53="",N(M80)=0),"",N(L80)&amp;"/"&amp;M80)</f>
        <v/>
      </c>
    </row>
    <row r="54" customFormat="false" ht="15" hidden="false" customHeight="false" outlineLevel="0" collapsed="false">
      <c r="A54" s="49" t="str">
        <f aca="false">IF($A$81="","",$A$81)</f>
        <v>NGC</v>
      </c>
      <c r="B54" s="38" t="str">
        <f aca="false">IF($A54="","",IF(N(C81)=0,"N/A",N(B81)/C81))</f>
        <v>N/A</v>
      </c>
      <c r="C54" s="39" t="str">
        <f aca="false">IF(OR($A54="",N(C81)=0),"",N(B81)&amp;"/"&amp;C81)</f>
        <v/>
      </c>
      <c r="D54" s="38" t="str">
        <f aca="false">IF($A54="","",IF(N(E81)=0,"N/A",N(D81)/E81))</f>
        <v>N/A</v>
      </c>
      <c r="E54" s="39" t="str">
        <f aca="false">IF(OR($A54="",N(E81)=0),"",N(D81)&amp;"/"&amp;E81)</f>
        <v/>
      </c>
      <c r="F54" s="38" t="str">
        <f aca="false">IF($A54="","",IF(N(G81)=0,"N/A",N(F81)/G81))</f>
        <v>N/A</v>
      </c>
      <c r="G54" s="39" t="str">
        <f aca="false">IF(OR($A54="",N(G81)=0),"",N(F81)&amp;"/"&amp;G81)</f>
        <v/>
      </c>
      <c r="H54" s="38" t="str">
        <f aca="false">IF($A54="","",IF(N(I81)=0,"N/A",N(H81)/I81))</f>
        <v>N/A</v>
      </c>
      <c r="I54" s="39" t="str">
        <f aca="false">IF(OR($A54="",N(I81)=0),"",N(H81)&amp;"/"&amp;I81)</f>
        <v/>
      </c>
      <c r="J54" s="38" t="str">
        <f aca="false">IF($A54="","",IF(N(K81)=0,"N/A",N(J81)/K81))</f>
        <v>N/A</v>
      </c>
      <c r="K54" s="39" t="str">
        <f aca="false">IF(OR($A54="",N(K81)=0),"",N(J81)&amp;"/"&amp;K81)</f>
        <v/>
      </c>
      <c r="L54" s="38" t="str">
        <f aca="false">IF($A54="","",IF(N(M81)=0,"N/A",N(L81)/M81))</f>
        <v>N/A</v>
      </c>
      <c r="M54" s="39" t="str">
        <f aca="false">IF(OR($A54="",N(M81)=0),"",N(L81)&amp;"/"&amp;M81)</f>
        <v/>
      </c>
    </row>
    <row r="55" customFormat="false" ht="15" hidden="false" customHeight="false" outlineLevel="0" collapsed="false">
      <c r="A55" s="49" t="str">
        <f aca="false">IF($A$82="","",$A$82)</f>
        <v/>
      </c>
      <c r="B55" s="38" t="str">
        <f aca="false">IF($A55="","",IF(N(C82)=0,"N/A",N(B82)/C82))</f>
        <v/>
      </c>
      <c r="C55" s="39" t="str">
        <f aca="false">IF(OR($A55="",N(C82)=0),"",N(B82)&amp;"/"&amp;C82)</f>
        <v/>
      </c>
      <c r="D55" s="38" t="str">
        <f aca="false">IF($A55="","",IF(N(E82)=0,"N/A",N(D82)/E82))</f>
        <v/>
      </c>
      <c r="E55" s="39" t="str">
        <f aca="false">IF(OR($A55="",N(E82)=0),"",N(D82)&amp;"/"&amp;E82)</f>
        <v/>
      </c>
      <c r="F55" s="38" t="str">
        <f aca="false">IF($A55="","",IF(N(G82)=0,"N/A",N(F82)/G82))</f>
        <v/>
      </c>
      <c r="G55" s="39" t="str">
        <f aca="false">IF(OR($A55="",N(G82)=0),"",N(F82)&amp;"/"&amp;G82)</f>
        <v/>
      </c>
      <c r="H55" s="38" t="str">
        <f aca="false">IF($A55="","",IF(N(I82)=0,"N/A",N(H82)/I82))</f>
        <v/>
      </c>
      <c r="I55" s="39" t="str">
        <f aca="false">IF(OR($A55="",N(I82)=0),"",N(H82)&amp;"/"&amp;I82)</f>
        <v/>
      </c>
      <c r="J55" s="38" t="str">
        <f aca="false">IF($A55="","",IF(N(K82)=0,"N/A",N(J82)/K82))</f>
        <v/>
      </c>
      <c r="K55" s="39" t="str">
        <f aca="false">IF(OR($A55="",N(K82)=0),"",N(J82)&amp;"/"&amp;K82)</f>
        <v/>
      </c>
      <c r="L55" s="38" t="str">
        <f aca="false">IF($A55="","",IF(N(M82)=0,"N/A",N(L82)/M82))</f>
        <v/>
      </c>
      <c r="M55" s="39" t="str">
        <f aca="false">IF(OR($A55="",N(M82)=0),"",N(L82)&amp;"/"&amp;M82)</f>
        <v/>
      </c>
    </row>
    <row r="56" customFormat="false" ht="15" hidden="false" customHeight="false" outlineLevel="0" collapsed="false">
      <c r="A56" s="49" t="str">
        <f aca="false">IF($A$83="","",$A$83)</f>
        <v/>
      </c>
      <c r="B56" s="38" t="str">
        <f aca="false">IF($A56="","",IF(N(C83)=0,"N/A",N(B83)/C83))</f>
        <v/>
      </c>
      <c r="C56" s="39" t="str">
        <f aca="false">IF(OR($A56="",N(C83)=0),"",N(B83)&amp;"/"&amp;C83)</f>
        <v/>
      </c>
      <c r="D56" s="38" t="str">
        <f aca="false">IF($A56="","",IF(N(E83)=0,"N/A",N(D83)/E83))</f>
        <v/>
      </c>
      <c r="E56" s="39" t="str">
        <f aca="false">IF(OR($A56="",N(E83)=0),"",N(D83)&amp;"/"&amp;E83)</f>
        <v/>
      </c>
      <c r="F56" s="38" t="str">
        <f aca="false">IF($A56="","",IF(N(G83)=0,"N/A",N(F83)/G83))</f>
        <v/>
      </c>
      <c r="G56" s="39" t="str">
        <f aca="false">IF(OR($A56="",N(G83)=0),"",N(F83)&amp;"/"&amp;G83)</f>
        <v/>
      </c>
      <c r="H56" s="38" t="str">
        <f aca="false">IF($A56="","",IF(N(I83)=0,"N/A",N(H83)/I83))</f>
        <v/>
      </c>
      <c r="I56" s="39" t="str">
        <f aca="false">IF(OR($A56="",N(I83)=0),"",N(H83)&amp;"/"&amp;I83)</f>
        <v/>
      </c>
      <c r="J56" s="38" t="str">
        <f aca="false">IF($A56="","",IF(N(K83)=0,"N/A",N(J83)/K83))</f>
        <v/>
      </c>
      <c r="K56" s="39" t="str">
        <f aca="false">IF(OR($A56="",N(K83)=0),"",N(J83)&amp;"/"&amp;K83)</f>
        <v/>
      </c>
      <c r="L56" s="38" t="str">
        <f aca="false">IF($A56="","",IF(N(M83)=0,"N/A",N(L83)/M83))</f>
        <v/>
      </c>
      <c r="M56" s="39" t="str">
        <f aca="false">IF(OR($A56="",N(M83)=0),"",N(L83)&amp;"/"&amp;M83)</f>
        <v/>
      </c>
    </row>
    <row r="57" customFormat="false" ht="15" hidden="false" customHeight="false" outlineLevel="0" collapsed="false">
      <c r="A57" s="40" t="s">
        <v>92</v>
      </c>
      <c r="B57" s="38" t="str">
        <f aca="false">IF($A57="","",IF(N(C84)=0,"N/A",N(B84)/C84))</f>
        <v>N/A</v>
      </c>
      <c r="C57" s="39" t="str">
        <f aca="false">IF(OR($A57="",N(C84)=0),"",N(B84)&amp;"/"&amp;C84)</f>
        <v/>
      </c>
      <c r="D57" s="38" t="str">
        <f aca="false">IF($A57="","",IF(N(E84)=0,"N/A",N(D84)/E84))</f>
        <v>N/A</v>
      </c>
      <c r="E57" s="39" t="str">
        <f aca="false">IF(OR($A57="",N(E84)=0),"",N(D84)&amp;"/"&amp;E84)</f>
        <v/>
      </c>
      <c r="F57" s="38" t="str">
        <f aca="false">IF($A57="","",IF(N(G84)=0,"N/A",N(F84)/G84))</f>
        <v>N/A</v>
      </c>
      <c r="G57" s="39" t="str">
        <f aca="false">IF(OR($A57="",N(G84)=0),"",N(F84)&amp;"/"&amp;G84)</f>
        <v/>
      </c>
      <c r="H57" s="38" t="str">
        <f aca="false">IF($A57="","",IF(N(I84)=0,"N/A",N(H84)/I84))</f>
        <v>N/A</v>
      </c>
      <c r="I57" s="39" t="str">
        <f aca="false">IF(OR($A57="",N(I84)=0),"",N(H84)&amp;"/"&amp;I84)</f>
        <v/>
      </c>
      <c r="J57" s="38" t="str">
        <f aca="false">IF($A57="","",IF(N(K84)=0,"N/A",N(J84)/K84))</f>
        <v>N/A</v>
      </c>
      <c r="K57" s="39" t="str">
        <f aca="false">IF(OR($A57="",N(K84)=0),"",N(J84)&amp;"/"&amp;K84)</f>
        <v/>
      </c>
      <c r="L57" s="38" t="str">
        <f aca="false">IF($A57="","",IF(N(M84)=0,"N/A",N(L84)/M84))</f>
        <v>N/A</v>
      </c>
      <c r="M57" s="39" t="str">
        <f aca="false">IF(OR($A57="",N(M84)=0),"",N(L84)&amp;"/"&amp;M84)</f>
        <v/>
      </c>
    </row>
    <row r="58" customFormat="false" ht="15" hidden="false" customHeight="false" outlineLevel="0" collapsed="false">
      <c r="A58" s="34" t="s">
        <v>49</v>
      </c>
      <c r="B58" s="35"/>
      <c r="C58" s="35"/>
      <c r="D58" s="35"/>
      <c r="E58" s="35"/>
      <c r="F58" s="35"/>
      <c r="G58" s="35"/>
      <c r="H58" s="35"/>
      <c r="I58" s="35"/>
      <c r="J58" s="35"/>
      <c r="K58" s="35"/>
      <c r="L58" s="35"/>
      <c r="M58" s="35"/>
    </row>
    <row r="59" customFormat="false" ht="30" hidden="false" customHeight="true" outlineLevel="0" collapsed="false">
      <c r="A59" s="36" t="s">
        <v>25</v>
      </c>
      <c r="B59" s="14" t="s">
        <v>50</v>
      </c>
      <c r="C59" s="14"/>
      <c r="D59" s="14" t="s">
        <v>51</v>
      </c>
      <c r="E59" s="14"/>
      <c r="F59" s="14" t="s">
        <v>52</v>
      </c>
      <c r="G59" s="14"/>
      <c r="H59" s="14" t="s">
        <v>53</v>
      </c>
      <c r="I59" s="14"/>
    </row>
    <row r="60" customFormat="false" ht="15" hidden="false" customHeight="false" outlineLevel="0" collapsed="false">
      <c r="A60" s="49" t="str">
        <f aca="false">IF($A$76="","",$A$76)</f>
        <v>B203</v>
      </c>
      <c r="B60" s="41" t="str">
        <f aca="false">IF($A60="","",IF(ISNUMBER(B102),B102,"N/A"))</f>
        <v>N/A</v>
      </c>
      <c r="C60" s="41"/>
      <c r="D60" s="38" t="str">
        <f aca="false">IF($A60="","",IF(N(E102)=0,"N/A",N(D102)/E102))</f>
        <v>N/A</v>
      </c>
      <c r="E60" s="39" t="str">
        <f aca="false">IF(OR($A60="",N(E102)=0),"",N(D102)&amp;"/"&amp;E102)</f>
        <v/>
      </c>
      <c r="F60" s="38" t="str">
        <f aca="false">IF($A60="","",IF(N(G102)=0,"N/A",N(F102)/G102))</f>
        <v>N/A</v>
      </c>
      <c r="G60" s="39" t="str">
        <f aca="false">IF(OR($A60="",N(G102)=0),"",N(F102)&amp;"/"&amp;G102)</f>
        <v/>
      </c>
      <c r="H60" s="38" t="str">
        <f aca="false">IF($A60="","",IF(N(I102)=0,"N/A",N(H102)/I102))</f>
        <v>N/A</v>
      </c>
      <c r="I60" s="39" t="str">
        <f aca="false">IF(OR($A60="",N(I102)=0),"",N(H102)&amp;"/"&amp;I102)</f>
        <v/>
      </c>
    </row>
    <row r="61" customFormat="false" ht="15" hidden="false" customHeight="false" outlineLevel="0" collapsed="false">
      <c r="A61" s="49" t="str">
        <f aca="false">IF($A$77="","",$A$77)</f>
        <v>B277</v>
      </c>
      <c r="B61" s="41" t="str">
        <f aca="false">IF($A61="","",IF(ISNUMBER(B103),B103,"N/A"))</f>
        <v>N/A</v>
      </c>
      <c r="C61" s="41"/>
      <c r="D61" s="38" t="str">
        <f aca="false">IF($A61="","",IF(N(E103)=0,"N/A",N(D103)/E103))</f>
        <v>N/A</v>
      </c>
      <c r="E61" s="39" t="str">
        <f aca="false">IF(OR($A61="",N(E103)=0),"",N(D103)&amp;"/"&amp;E103)</f>
        <v/>
      </c>
      <c r="F61" s="38" t="str">
        <f aca="false">IF($A61="","",IF(N(G103)=0,"N/A",N(F103)/G103))</f>
        <v>N/A</v>
      </c>
      <c r="G61" s="39" t="str">
        <f aca="false">IF(OR($A61="",N(G103)=0),"",N(F103)&amp;"/"&amp;G103)</f>
        <v/>
      </c>
      <c r="H61" s="38" t="str">
        <f aca="false">IF($A61="","",IF(N(I103)=0,"N/A",N(H103)/I103))</f>
        <v>N/A</v>
      </c>
      <c r="I61" s="39" t="str">
        <f aca="false">IF(OR($A61="",N(I103)=0),"",N(H103)&amp;"/"&amp;I103)</f>
        <v/>
      </c>
    </row>
    <row r="62" customFormat="false" ht="15" hidden="false" customHeight="false" outlineLevel="0" collapsed="false">
      <c r="A62" s="49" t="str">
        <f aca="false">IF($A$78="","",$A$78)</f>
        <v>B242</v>
      </c>
      <c r="B62" s="41" t="str">
        <f aca="false">IF($A62="","",IF(ISNUMBER(B104),B104,"N/A"))</f>
        <v>N/A</v>
      </c>
      <c r="C62" s="41"/>
      <c r="D62" s="38" t="str">
        <f aca="false">IF($A62="","",IF(N(E104)=0,"N/A",N(D104)/E104))</f>
        <v>N/A</v>
      </c>
      <c r="E62" s="39" t="str">
        <f aca="false">IF(OR($A62="",N(E104)=0),"",N(D104)&amp;"/"&amp;E104)</f>
        <v/>
      </c>
      <c r="F62" s="38" t="str">
        <f aca="false">IF($A62="","",IF(N(G104)=0,"N/A",N(F104)/G104))</f>
        <v>N/A</v>
      </c>
      <c r="G62" s="39" t="str">
        <f aca="false">IF(OR($A62="",N(G104)=0),"",N(F104)&amp;"/"&amp;G104)</f>
        <v/>
      </c>
      <c r="H62" s="38" t="str">
        <f aca="false">IF($A62="","",IF(N(I104)=0,"N/A",N(H104)/I104))</f>
        <v>N/A</v>
      </c>
      <c r="I62" s="39" t="str">
        <f aca="false">IF(OR($A62="",N(I104)=0),"",N(H104)&amp;"/"&amp;I104)</f>
        <v/>
      </c>
    </row>
    <row r="63" customFormat="false" ht="15" hidden="false" customHeight="false" outlineLevel="0" collapsed="false">
      <c r="A63" s="49" t="str">
        <f aca="false">IF($A$79="","",$A$79)</f>
        <v>B33</v>
      </c>
      <c r="B63" s="41" t="str">
        <f aca="false">IF($A63="","",IF(ISNUMBER(B105),B105,"N/A"))</f>
        <v>N/A</v>
      </c>
      <c r="C63" s="41"/>
      <c r="D63" s="38" t="str">
        <f aca="false">IF($A63="","",IF(N(E105)=0,"N/A",N(D105)/E105))</f>
        <v>N/A</v>
      </c>
      <c r="E63" s="39" t="str">
        <f aca="false">IF(OR($A63="",N(E105)=0),"",N(D105)&amp;"/"&amp;E105)</f>
        <v/>
      </c>
      <c r="F63" s="38" t="str">
        <f aca="false">IF($A63="","",IF(N(G105)=0,"N/A",N(F105)/G105))</f>
        <v>N/A</v>
      </c>
      <c r="G63" s="39" t="str">
        <f aca="false">IF(OR($A63="",N(G105)=0),"",N(F105)&amp;"/"&amp;G105)</f>
        <v/>
      </c>
      <c r="H63" s="38" t="str">
        <f aca="false">IF($A63="","",IF(N(I105)=0,"N/A",N(H105)/I105))</f>
        <v>N/A</v>
      </c>
      <c r="I63" s="39" t="str">
        <f aca="false">IF(OR($A63="",N(I105)=0),"",N(H105)&amp;"/"&amp;I105)</f>
        <v/>
      </c>
    </row>
    <row r="64" customFormat="false" ht="15" hidden="false" customHeight="false" outlineLevel="0" collapsed="false">
      <c r="A64" s="49" t="str">
        <f aca="false">IF($A$80="","",$A$80)</f>
        <v>B229</v>
      </c>
      <c r="B64" s="41" t="str">
        <f aca="false">IF($A64="","",IF(ISNUMBER(B106),B106,"N/A"))</f>
        <v>N/A</v>
      </c>
      <c r="C64" s="41"/>
      <c r="D64" s="38" t="str">
        <f aca="false">IF($A64="","",IF(N(E106)=0,"N/A",N(D106)/E106))</f>
        <v>N/A</v>
      </c>
      <c r="E64" s="39" t="str">
        <f aca="false">IF(OR($A64="",N(E106)=0),"",N(D106)&amp;"/"&amp;E106)</f>
        <v/>
      </c>
      <c r="F64" s="38" t="str">
        <f aca="false">IF($A64="","",IF(N(G106)=0,"N/A",N(F106)/G106))</f>
        <v>N/A</v>
      </c>
      <c r="G64" s="39" t="str">
        <f aca="false">IF(OR($A64="",N(G106)=0),"",N(F106)&amp;"/"&amp;G106)</f>
        <v/>
      </c>
      <c r="H64" s="38" t="str">
        <f aca="false">IF($A64="","",IF(N(I106)=0,"N/A",N(H106)/I106))</f>
        <v>N/A</v>
      </c>
      <c r="I64" s="39" t="str">
        <f aca="false">IF(OR($A64="",N(I106)=0),"",N(H106)&amp;"/"&amp;I106)</f>
        <v/>
      </c>
    </row>
    <row r="65" customFormat="false" ht="15" hidden="false" customHeight="false" outlineLevel="0" collapsed="false">
      <c r="A65" s="49" t="str">
        <f aca="false">IF($A$81="","",$A$81)</f>
        <v>NGC</v>
      </c>
      <c r="B65" s="41" t="str">
        <f aca="false">IF($A65="","",IF(ISNUMBER(B107),B107,"N/A"))</f>
        <v>N/A</v>
      </c>
      <c r="C65" s="41"/>
      <c r="D65" s="38" t="str">
        <f aca="false">IF($A65="","",IF(N(E107)=0,"N/A",N(D107)/E107))</f>
        <v>N/A</v>
      </c>
      <c r="E65" s="39" t="str">
        <f aca="false">IF(OR($A65="",N(E107)=0),"",N(D107)&amp;"/"&amp;E107)</f>
        <v/>
      </c>
      <c r="F65" s="38" t="str">
        <f aca="false">IF($A65="","",IF(N(G107)=0,"N/A",N(F107)/G107))</f>
        <v>N/A</v>
      </c>
      <c r="G65" s="39" t="str">
        <f aca="false">IF(OR($A65="",N(G107)=0),"",N(F107)&amp;"/"&amp;G107)</f>
        <v/>
      </c>
      <c r="H65" s="38" t="str">
        <f aca="false">IF($A65="","",IF(N(I107)=0,"N/A",N(H107)/I107))</f>
        <v>N/A</v>
      </c>
      <c r="I65" s="39" t="str">
        <f aca="false">IF(OR($A65="",N(I107)=0),"",N(H107)&amp;"/"&amp;I107)</f>
        <v/>
      </c>
    </row>
    <row r="66" customFormat="false" ht="15" hidden="false" customHeight="false" outlineLevel="0" collapsed="false">
      <c r="A66" s="49" t="str">
        <f aca="false">IF($A$82="","",$A$82)</f>
        <v/>
      </c>
      <c r="B66" s="41" t="str">
        <f aca="false">IF($A66="","",IF(ISNUMBER(B108),B108,"N/A"))</f>
        <v/>
      </c>
      <c r="C66" s="41"/>
      <c r="D66" s="38" t="str">
        <f aca="false">IF($A66="","",IF(N(E108)=0,"N/A",N(D108)/E108))</f>
        <v/>
      </c>
      <c r="E66" s="39" t="str">
        <f aca="false">IF(OR($A66="",N(E108)=0),"",N(D108)&amp;"/"&amp;E108)</f>
        <v/>
      </c>
      <c r="F66" s="38" t="str">
        <f aca="false">IF($A66="","",IF(N(G108)=0,"N/A",N(F108)/G108))</f>
        <v/>
      </c>
      <c r="G66" s="39" t="str">
        <f aca="false">IF(OR($A66="",N(G108)=0),"",N(F108)&amp;"/"&amp;G108)</f>
        <v/>
      </c>
      <c r="H66" s="38" t="str">
        <f aca="false">IF($A66="","",IF(N(I108)=0,"N/A",N(H108)/I108))</f>
        <v/>
      </c>
      <c r="I66" s="39" t="str">
        <f aca="false">IF(OR($A66="",N(I108)=0),"",N(H108)&amp;"/"&amp;I108)</f>
        <v/>
      </c>
    </row>
    <row r="67" customFormat="false" ht="15" hidden="false" customHeight="false" outlineLevel="0" collapsed="false">
      <c r="A67" s="49" t="str">
        <f aca="false">IF($A$83="","",$A$83)</f>
        <v/>
      </c>
      <c r="B67" s="41" t="str">
        <f aca="false">IF($A67="","",IF(ISNUMBER(B109),B109,"N/A"))</f>
        <v/>
      </c>
      <c r="C67" s="41"/>
      <c r="D67" s="38" t="str">
        <f aca="false">IF($A67="","",IF(N(E109)=0,"N/A",N(D109)/E109))</f>
        <v/>
      </c>
      <c r="E67" s="39" t="str">
        <f aca="false">IF(OR($A67="",N(E109)=0),"",N(D109)&amp;"/"&amp;E109)</f>
        <v/>
      </c>
      <c r="F67" s="38" t="str">
        <f aca="false">IF($A67="","",IF(N(G109)=0,"N/A",N(F109)/G109))</f>
        <v/>
      </c>
      <c r="G67" s="39" t="str">
        <f aca="false">IF(OR($A67="",N(G109)=0),"",N(F109)&amp;"/"&amp;G109)</f>
        <v/>
      </c>
      <c r="H67" s="38" t="str">
        <f aca="false">IF($A67="","",IF(N(I109)=0,"N/A",N(H109)/I109))</f>
        <v/>
      </c>
      <c r="I67" s="39" t="str">
        <f aca="false">IF(OR($A67="",N(I109)=0),"",N(H109)&amp;"/"&amp;I109)</f>
        <v/>
      </c>
    </row>
    <row r="68" customFormat="false" ht="15" hidden="false" customHeight="false" outlineLevel="0" collapsed="false">
      <c r="A68" s="40" t="s">
        <v>92</v>
      </c>
      <c r="B68" s="41" t="str">
        <f aca="false">IF($A68="","",IF(ISNUMBER(B110),B110,"N/A"))</f>
        <v>N/A</v>
      </c>
      <c r="C68" s="41"/>
      <c r="D68" s="38" t="str">
        <f aca="false">IF($A68="","",IF(N(E110)=0,"N/A",N(D110)/E110))</f>
        <v>N/A</v>
      </c>
      <c r="E68" s="39" t="str">
        <f aca="false">IF(OR($A68="",N(E110)=0),"",N(D110)&amp;"/"&amp;E110)</f>
        <v/>
      </c>
      <c r="F68" s="38" t="str">
        <f aca="false">IF($A68="","",IF(N(G110)=0,"N/A",N(F110)/G110))</f>
        <v>N/A</v>
      </c>
      <c r="G68" s="39" t="str">
        <f aca="false">IF(OR($A68="",N(G110)=0),"",N(F110)&amp;"/"&amp;G110)</f>
        <v/>
      </c>
      <c r="H68" s="38" t="str">
        <f aca="false">IF($A68="","",IF(N(I110)=0,"N/A",N(H110)/I110))</f>
        <v>N/A</v>
      </c>
      <c r="I68" s="39" t="str">
        <f aca="false">IF(OR($A68="",N(I110)=0),"",N(H110)&amp;"/"&amp;I110)</f>
        <v/>
      </c>
    </row>
    <row r="70" customFormat="false" ht="21.75" hidden="false" customHeight="true" outlineLevel="0" collapsed="false">
      <c r="A70" s="3" t="s">
        <v>93</v>
      </c>
      <c r="B70" s="4"/>
      <c r="C70" s="4"/>
      <c r="D70" s="4"/>
      <c r="E70" s="4"/>
      <c r="F70" s="4"/>
      <c r="G70" s="4"/>
      <c r="H70" s="4"/>
      <c r="I70" s="4"/>
      <c r="J70" s="4"/>
      <c r="K70" s="4"/>
      <c r="L70" s="4"/>
      <c r="M70" s="4"/>
    </row>
    <row r="71" customFormat="false" ht="25.5" hidden="false" customHeight="true" outlineLevel="0" collapsed="false">
      <c r="A71" s="16" t="s">
        <v>94</v>
      </c>
      <c r="B71" s="16"/>
      <c r="C71" s="16"/>
      <c r="D71" s="16"/>
      <c r="E71" s="16"/>
      <c r="F71" s="16"/>
      <c r="G71" s="16"/>
      <c r="H71" s="16"/>
      <c r="I71" s="16"/>
      <c r="J71" s="16"/>
      <c r="K71" s="16"/>
      <c r="L71" s="16"/>
      <c r="M71" s="16"/>
    </row>
    <row r="73" customFormat="false" ht="15" hidden="false" customHeight="false" outlineLevel="0" collapsed="false">
      <c r="A73" s="34" t="str">
        <f aca="false">"PowerBI data – current period ("&amp;CurLbl&amp;")"</f>
        <v>PowerBI data – current period (P7)</v>
      </c>
      <c r="B73" s="35"/>
      <c r="C73" s="35"/>
      <c r="D73" s="35"/>
      <c r="E73" s="35"/>
      <c r="F73" s="35"/>
      <c r="G73" s="35"/>
      <c r="H73" s="35"/>
      <c r="I73" s="35"/>
      <c r="J73" s="35"/>
      <c r="K73" s="35"/>
      <c r="L73" s="35"/>
      <c r="M73" s="35"/>
    </row>
    <row r="74" customFormat="false" ht="30" hidden="false" customHeight="true" outlineLevel="0" collapsed="false">
      <c r="A74" s="36" t="s">
        <v>25</v>
      </c>
      <c r="B74" s="14" t="s">
        <v>42</v>
      </c>
      <c r="C74" s="14"/>
      <c r="D74" s="14" t="s">
        <v>43</v>
      </c>
      <c r="E74" s="14"/>
      <c r="F74" s="14" t="s">
        <v>44</v>
      </c>
      <c r="G74" s="14"/>
      <c r="H74" s="14" t="s">
        <v>45</v>
      </c>
      <c r="I74" s="14"/>
      <c r="J74" s="14" t="s">
        <v>46</v>
      </c>
      <c r="K74" s="14"/>
      <c r="L74" s="14" t="s">
        <v>47</v>
      </c>
      <c r="M74" s="14"/>
    </row>
    <row r="75" customFormat="false" ht="15" hidden="false" customHeight="false" outlineLevel="0" collapsed="false">
      <c r="A75" s="36"/>
      <c r="B75" s="48" t="s">
        <v>81</v>
      </c>
      <c r="C75" s="48" t="s">
        <v>82</v>
      </c>
      <c r="D75" s="48" t="s">
        <v>81</v>
      </c>
      <c r="E75" s="48" t="s">
        <v>82</v>
      </c>
      <c r="F75" s="48" t="s">
        <v>81</v>
      </c>
      <c r="G75" s="48" t="s">
        <v>82</v>
      </c>
      <c r="H75" s="48" t="s">
        <v>81</v>
      </c>
      <c r="I75" s="48" t="s">
        <v>82</v>
      </c>
      <c r="J75" s="48" t="s">
        <v>81</v>
      </c>
      <c r="K75" s="48" t="s">
        <v>82</v>
      </c>
      <c r="L75" s="48" t="s">
        <v>81</v>
      </c>
      <c r="M75" s="48" t="s">
        <v>82</v>
      </c>
    </row>
    <row r="76" customFormat="false" ht="15" hidden="false" customHeight="false" outlineLevel="0" collapsed="false">
      <c r="A76" s="53" t="s">
        <v>31</v>
      </c>
      <c r="B76" s="54"/>
      <c r="C76" s="54"/>
      <c r="D76" s="54"/>
      <c r="E76" s="54"/>
      <c r="F76" s="54"/>
      <c r="G76" s="54"/>
      <c r="H76" s="54"/>
      <c r="I76" s="54"/>
      <c r="J76" s="54"/>
      <c r="K76" s="54"/>
      <c r="L76" s="54"/>
      <c r="M76" s="54"/>
    </row>
    <row r="77" customFormat="false" ht="15" hidden="false" customHeight="false" outlineLevel="0" collapsed="false">
      <c r="A77" s="53" t="s">
        <v>95</v>
      </c>
      <c r="B77" s="54"/>
      <c r="C77" s="54"/>
      <c r="D77" s="54"/>
      <c r="E77" s="54"/>
      <c r="F77" s="54"/>
      <c r="G77" s="54"/>
      <c r="H77" s="54"/>
      <c r="I77" s="54"/>
      <c r="J77" s="54"/>
      <c r="K77" s="54"/>
      <c r="L77" s="54"/>
      <c r="M77" s="54"/>
    </row>
    <row r="78" customFormat="false" ht="15" hidden="false" customHeight="false" outlineLevel="0" collapsed="false">
      <c r="A78" s="53" t="s">
        <v>96</v>
      </c>
      <c r="B78" s="54"/>
      <c r="C78" s="54"/>
      <c r="D78" s="54"/>
      <c r="E78" s="54"/>
      <c r="F78" s="54"/>
      <c r="G78" s="54"/>
      <c r="H78" s="54"/>
      <c r="I78" s="54"/>
      <c r="J78" s="54"/>
      <c r="K78" s="54"/>
      <c r="L78" s="54"/>
      <c r="M78" s="54"/>
    </row>
    <row r="79" customFormat="false" ht="15" hidden="false" customHeight="false" outlineLevel="0" collapsed="false">
      <c r="A79" s="53" t="s">
        <v>97</v>
      </c>
      <c r="B79" s="54"/>
      <c r="C79" s="54"/>
      <c r="D79" s="54"/>
      <c r="E79" s="54"/>
      <c r="F79" s="54"/>
      <c r="G79" s="54"/>
      <c r="H79" s="54"/>
      <c r="I79" s="54"/>
      <c r="J79" s="54"/>
      <c r="K79" s="54"/>
      <c r="L79" s="54"/>
      <c r="M79" s="54"/>
    </row>
    <row r="80" customFormat="false" ht="15" hidden="false" customHeight="false" outlineLevel="0" collapsed="false">
      <c r="A80" s="53" t="s">
        <v>98</v>
      </c>
      <c r="B80" s="54"/>
      <c r="C80" s="54"/>
      <c r="D80" s="54"/>
      <c r="E80" s="54"/>
      <c r="F80" s="54"/>
      <c r="G80" s="54"/>
      <c r="H80" s="54"/>
      <c r="I80" s="54"/>
      <c r="J80" s="54"/>
      <c r="K80" s="54"/>
      <c r="L80" s="54"/>
      <c r="M80" s="54"/>
    </row>
    <row r="81" customFormat="false" ht="15" hidden="false" customHeight="false" outlineLevel="0" collapsed="false">
      <c r="A81" s="53" t="s">
        <v>99</v>
      </c>
      <c r="B81" s="54"/>
      <c r="C81" s="54"/>
      <c r="D81" s="54"/>
      <c r="E81" s="54"/>
      <c r="F81" s="54"/>
      <c r="G81" s="54"/>
      <c r="H81" s="54"/>
      <c r="I81" s="54"/>
      <c r="J81" s="54"/>
      <c r="K81" s="54"/>
      <c r="L81" s="54"/>
      <c r="M81" s="54"/>
    </row>
    <row r="82" customFormat="false" ht="15" hidden="false" customHeight="false" outlineLevel="0" collapsed="false">
      <c r="A82" s="53"/>
      <c r="B82" s="54"/>
      <c r="C82" s="54"/>
      <c r="D82" s="54"/>
      <c r="E82" s="54"/>
      <c r="F82" s="54"/>
      <c r="G82" s="54"/>
      <c r="H82" s="54"/>
      <c r="I82" s="54"/>
      <c r="J82" s="54"/>
      <c r="K82" s="54"/>
      <c r="L82" s="54"/>
      <c r="M82" s="54"/>
    </row>
    <row r="83" customFormat="false" ht="15" hidden="false" customHeight="false" outlineLevel="0" collapsed="false">
      <c r="A83" s="53"/>
      <c r="B83" s="54"/>
      <c r="C83" s="54"/>
      <c r="D83" s="54"/>
      <c r="E83" s="54"/>
      <c r="F83" s="54"/>
      <c r="G83" s="54"/>
      <c r="H83" s="54"/>
      <c r="I83" s="54"/>
      <c r="J83" s="54"/>
      <c r="K83" s="54"/>
      <c r="L83" s="54"/>
      <c r="M83" s="54"/>
    </row>
    <row r="84" customFormat="false" ht="15" hidden="false" customHeight="false" outlineLevel="0" collapsed="false">
      <c r="A84" s="40" t="s">
        <v>92</v>
      </c>
      <c r="B84" s="51" t="n">
        <f aca="false">SUM(B76:B83)</f>
        <v>0</v>
      </c>
      <c r="C84" s="51" t="n">
        <f aca="false">SUM(C76:C83)</f>
        <v>0</v>
      </c>
      <c r="D84" s="51" t="n">
        <f aca="false">SUM(D76:D83)</f>
        <v>0</v>
      </c>
      <c r="E84" s="51" t="n">
        <f aca="false">SUM(E76:E83)</f>
        <v>0</v>
      </c>
      <c r="F84" s="51" t="n">
        <f aca="false">SUM(F76:F83)</f>
        <v>0</v>
      </c>
      <c r="G84" s="51" t="n">
        <f aca="false">SUM(G76:G83)</f>
        <v>0</v>
      </c>
      <c r="H84" s="51" t="n">
        <f aca="false">SUM(H76:H83)</f>
        <v>0</v>
      </c>
      <c r="I84" s="51" t="n">
        <f aca="false">SUM(I76:I83)</f>
        <v>0</v>
      </c>
      <c r="J84" s="51" t="n">
        <f aca="false">SUM(J76:J83)</f>
        <v>0</v>
      </c>
      <c r="K84" s="51" t="n">
        <f aca="false">SUM(K76:K83)</f>
        <v>0</v>
      </c>
      <c r="L84" s="51" t="n">
        <f aca="false">SUM(L76:L83)</f>
        <v>0</v>
      </c>
      <c r="M84" s="51" t="n">
        <f aca="false">SUM(M76:M83)</f>
        <v>0</v>
      </c>
    </row>
    <row r="86" customFormat="false" ht="15" hidden="false" customHeight="false" outlineLevel="0" collapsed="false">
      <c r="A86" s="34" t="str">
        <f aca="false">"PowerBI data – previous period ("&amp;PrevLbl&amp;")"</f>
        <v>PowerBI data – previous period (P6)</v>
      </c>
      <c r="B86" s="35"/>
      <c r="C86" s="35"/>
      <c r="D86" s="35"/>
      <c r="E86" s="35"/>
      <c r="F86" s="35"/>
      <c r="G86" s="35"/>
      <c r="H86" s="35"/>
      <c r="I86" s="35"/>
      <c r="J86" s="35"/>
      <c r="K86" s="35"/>
      <c r="L86" s="35"/>
      <c r="M86" s="35"/>
    </row>
    <row r="87" customFormat="false" ht="30" hidden="false" customHeight="true" outlineLevel="0" collapsed="false">
      <c r="A87" s="36" t="s">
        <v>25</v>
      </c>
      <c r="B87" s="14" t="s">
        <v>42</v>
      </c>
      <c r="C87" s="14"/>
      <c r="D87" s="14" t="s">
        <v>43</v>
      </c>
      <c r="E87" s="14"/>
      <c r="F87" s="14" t="s">
        <v>44</v>
      </c>
      <c r="G87" s="14"/>
      <c r="H87" s="14" t="s">
        <v>45</v>
      </c>
      <c r="I87" s="14"/>
      <c r="J87" s="14" t="s">
        <v>46</v>
      </c>
      <c r="K87" s="14"/>
      <c r="L87" s="14" t="s">
        <v>47</v>
      </c>
      <c r="M87" s="14"/>
    </row>
    <row r="88" customFormat="false" ht="15" hidden="false" customHeight="false" outlineLevel="0" collapsed="false">
      <c r="A88" s="36"/>
      <c r="B88" s="48" t="s">
        <v>81</v>
      </c>
      <c r="C88" s="48" t="s">
        <v>82</v>
      </c>
      <c r="D88" s="48" t="s">
        <v>81</v>
      </c>
      <c r="E88" s="48" t="s">
        <v>82</v>
      </c>
      <c r="F88" s="48" t="s">
        <v>81</v>
      </c>
      <c r="G88" s="48" t="s">
        <v>82</v>
      </c>
      <c r="H88" s="48" t="s">
        <v>81</v>
      </c>
      <c r="I88" s="48" t="s">
        <v>82</v>
      </c>
      <c r="J88" s="48" t="s">
        <v>81</v>
      </c>
      <c r="K88" s="48" t="s">
        <v>82</v>
      </c>
      <c r="L88" s="48" t="s">
        <v>81</v>
      </c>
      <c r="M88" s="48" t="s">
        <v>82</v>
      </c>
    </row>
    <row r="89" customFormat="false" ht="15" hidden="false" customHeight="false" outlineLevel="0" collapsed="false">
      <c r="A89" s="49" t="str">
        <f aca="false">IF($A$76="","",$A$76)</f>
        <v>B203</v>
      </c>
      <c r="B89" s="54"/>
      <c r="C89" s="54"/>
      <c r="D89" s="54"/>
      <c r="E89" s="54"/>
      <c r="F89" s="54"/>
      <c r="G89" s="54"/>
      <c r="H89" s="54"/>
      <c r="I89" s="54"/>
      <c r="J89" s="54"/>
      <c r="K89" s="54"/>
      <c r="L89" s="54"/>
      <c r="M89" s="54"/>
    </row>
    <row r="90" customFormat="false" ht="15" hidden="false" customHeight="false" outlineLevel="0" collapsed="false">
      <c r="A90" s="49" t="str">
        <f aca="false">IF($A$77="","",$A$77)</f>
        <v>B277</v>
      </c>
      <c r="B90" s="54"/>
      <c r="C90" s="54"/>
      <c r="D90" s="54"/>
      <c r="E90" s="54"/>
      <c r="F90" s="54"/>
      <c r="G90" s="54"/>
      <c r="H90" s="54"/>
      <c r="I90" s="54"/>
      <c r="J90" s="54"/>
      <c r="K90" s="54"/>
      <c r="L90" s="54"/>
      <c r="M90" s="54"/>
    </row>
    <row r="91" customFormat="false" ht="15" hidden="false" customHeight="false" outlineLevel="0" collapsed="false">
      <c r="A91" s="49" t="str">
        <f aca="false">IF($A$78="","",$A$78)</f>
        <v>B242</v>
      </c>
      <c r="B91" s="54"/>
      <c r="C91" s="54"/>
      <c r="D91" s="54"/>
      <c r="E91" s="54"/>
      <c r="F91" s="54"/>
      <c r="G91" s="54"/>
      <c r="H91" s="54"/>
      <c r="I91" s="54"/>
      <c r="J91" s="54"/>
      <c r="K91" s="54"/>
      <c r="L91" s="54"/>
      <c r="M91" s="54"/>
    </row>
    <row r="92" customFormat="false" ht="15" hidden="false" customHeight="false" outlineLevel="0" collapsed="false">
      <c r="A92" s="49" t="str">
        <f aca="false">IF($A$79="","",$A$79)</f>
        <v>B33</v>
      </c>
      <c r="B92" s="54"/>
      <c r="C92" s="54"/>
      <c r="D92" s="54"/>
      <c r="E92" s="54"/>
      <c r="F92" s="54"/>
      <c r="G92" s="54"/>
      <c r="H92" s="54"/>
      <c r="I92" s="54"/>
      <c r="J92" s="54"/>
      <c r="K92" s="54"/>
      <c r="L92" s="54"/>
      <c r="M92" s="54"/>
    </row>
    <row r="93" customFormat="false" ht="15" hidden="false" customHeight="false" outlineLevel="0" collapsed="false">
      <c r="A93" s="49" t="str">
        <f aca="false">IF($A$80="","",$A$80)</f>
        <v>B229</v>
      </c>
      <c r="B93" s="54"/>
      <c r="C93" s="54"/>
      <c r="D93" s="54"/>
      <c r="E93" s="54"/>
      <c r="F93" s="54"/>
      <c r="G93" s="54"/>
      <c r="H93" s="54"/>
      <c r="I93" s="54"/>
      <c r="J93" s="54"/>
      <c r="K93" s="54"/>
      <c r="L93" s="54"/>
      <c r="M93" s="54"/>
    </row>
    <row r="94" customFormat="false" ht="15" hidden="false" customHeight="false" outlineLevel="0" collapsed="false">
      <c r="A94" s="49" t="str">
        <f aca="false">IF($A$81="","",$A$81)</f>
        <v>NGC</v>
      </c>
      <c r="B94" s="54"/>
      <c r="C94" s="54"/>
      <c r="D94" s="54"/>
      <c r="E94" s="54"/>
      <c r="F94" s="54"/>
      <c r="G94" s="54"/>
      <c r="H94" s="54"/>
      <c r="I94" s="54"/>
      <c r="J94" s="54"/>
      <c r="K94" s="54"/>
      <c r="L94" s="54"/>
      <c r="M94" s="54"/>
    </row>
    <row r="95" customFormat="false" ht="15" hidden="false" customHeight="false" outlineLevel="0" collapsed="false">
      <c r="A95" s="49" t="str">
        <f aca="false">IF($A$82="","",$A$82)</f>
        <v/>
      </c>
      <c r="B95" s="54"/>
      <c r="C95" s="54"/>
      <c r="D95" s="54"/>
      <c r="E95" s="54"/>
      <c r="F95" s="54"/>
      <c r="G95" s="54"/>
      <c r="H95" s="54"/>
      <c r="I95" s="54"/>
      <c r="J95" s="54"/>
      <c r="K95" s="54"/>
      <c r="L95" s="54"/>
      <c r="M95" s="54"/>
    </row>
    <row r="96" customFormat="false" ht="15" hidden="false" customHeight="false" outlineLevel="0" collapsed="false">
      <c r="A96" s="49" t="str">
        <f aca="false">IF($A$83="","",$A$83)</f>
        <v/>
      </c>
      <c r="B96" s="54"/>
      <c r="C96" s="54"/>
      <c r="D96" s="54"/>
      <c r="E96" s="54"/>
      <c r="F96" s="54"/>
      <c r="G96" s="54"/>
      <c r="H96" s="54"/>
      <c r="I96" s="54"/>
      <c r="J96" s="54"/>
      <c r="K96" s="54"/>
      <c r="L96" s="54"/>
      <c r="M96" s="54"/>
    </row>
    <row r="97" customFormat="false" ht="15" hidden="false" customHeight="false" outlineLevel="0" collapsed="false">
      <c r="A97" s="40" t="s">
        <v>92</v>
      </c>
      <c r="B97" s="51" t="n">
        <f aca="false">SUM(B89:B96)</f>
        <v>0</v>
      </c>
      <c r="C97" s="51" t="n">
        <f aca="false">SUM(C89:C96)</f>
        <v>0</v>
      </c>
      <c r="D97" s="51" t="n">
        <f aca="false">SUM(D89:D96)</f>
        <v>0</v>
      </c>
      <c r="E97" s="51" t="n">
        <f aca="false">SUM(E89:E96)</f>
        <v>0</v>
      </c>
      <c r="F97" s="51" t="n">
        <f aca="false">SUM(F89:F96)</f>
        <v>0</v>
      </c>
      <c r="G97" s="51" t="n">
        <f aca="false">SUM(G89:G96)</f>
        <v>0</v>
      </c>
      <c r="H97" s="51" t="n">
        <f aca="false">SUM(H89:H96)</f>
        <v>0</v>
      </c>
      <c r="I97" s="51" t="n">
        <f aca="false">SUM(I89:I96)</f>
        <v>0</v>
      </c>
      <c r="J97" s="51" t="n">
        <f aca="false">SUM(J89:J96)</f>
        <v>0</v>
      </c>
      <c r="K97" s="51" t="n">
        <f aca="false">SUM(K89:K96)</f>
        <v>0</v>
      </c>
      <c r="L97" s="51" t="n">
        <f aca="false">SUM(L89:L96)</f>
        <v>0</v>
      </c>
      <c r="M97" s="51" t="n">
        <f aca="false">SUM(M89:M96)</f>
        <v>0</v>
      </c>
    </row>
    <row r="99" customFormat="false" ht="15" hidden="false" customHeight="false" outlineLevel="0" collapsed="false">
      <c r="A99" s="34" t="str">
        <f aca="false">"Quality Performance – current period ("&amp;CurLbl&amp;")"</f>
        <v>Quality Performance – current period (P7)</v>
      </c>
      <c r="B99" s="35"/>
      <c r="C99" s="35"/>
      <c r="D99" s="35"/>
      <c r="E99" s="35"/>
      <c r="F99" s="35"/>
      <c r="G99" s="35"/>
      <c r="H99" s="35"/>
      <c r="I99" s="35"/>
      <c r="J99" s="35"/>
      <c r="K99" s="35"/>
      <c r="L99" s="35"/>
      <c r="M99" s="35"/>
    </row>
    <row r="100" customFormat="false" ht="30" hidden="false" customHeight="true" outlineLevel="0" collapsed="false">
      <c r="A100" s="36" t="s">
        <v>25</v>
      </c>
      <c r="B100" s="14" t="s">
        <v>50</v>
      </c>
      <c r="C100" s="14"/>
      <c r="D100" s="14" t="s">
        <v>51</v>
      </c>
      <c r="E100" s="14"/>
      <c r="F100" s="14" t="s">
        <v>52</v>
      </c>
      <c r="G100" s="14"/>
      <c r="H100" s="14" t="s">
        <v>53</v>
      </c>
      <c r="I100" s="14"/>
    </row>
    <row r="101" customFormat="false" ht="15" hidden="false" customHeight="true" outlineLevel="0" collapsed="false">
      <c r="A101" s="36"/>
      <c r="B101" s="48" t="s">
        <v>83</v>
      </c>
      <c r="C101" s="48"/>
      <c r="D101" s="48" t="s">
        <v>81</v>
      </c>
      <c r="E101" s="48" t="s">
        <v>82</v>
      </c>
      <c r="F101" s="48" t="s">
        <v>81</v>
      </c>
      <c r="G101" s="48" t="s">
        <v>82</v>
      </c>
      <c r="H101" s="48" t="s">
        <v>81</v>
      </c>
      <c r="I101" s="48" t="s">
        <v>82</v>
      </c>
    </row>
    <row r="102" customFormat="false" ht="15" hidden="false" customHeight="false" outlineLevel="0" collapsed="false">
      <c r="A102" s="49" t="str">
        <f aca="false">IF($A$76="","",$A$76)</f>
        <v>B203</v>
      </c>
      <c r="B102" s="54"/>
      <c r="C102" s="54"/>
      <c r="D102" s="54"/>
      <c r="E102" s="54"/>
      <c r="F102" s="54"/>
      <c r="G102" s="54"/>
      <c r="H102" s="54"/>
      <c r="I102" s="54"/>
    </row>
    <row r="103" customFormat="false" ht="15" hidden="false" customHeight="false" outlineLevel="0" collapsed="false">
      <c r="A103" s="49" t="str">
        <f aca="false">IF($A$77="","",$A$77)</f>
        <v>B277</v>
      </c>
      <c r="B103" s="54"/>
      <c r="C103" s="54"/>
      <c r="D103" s="54"/>
      <c r="E103" s="54"/>
      <c r="F103" s="54"/>
      <c r="G103" s="54"/>
      <c r="H103" s="54"/>
      <c r="I103" s="54"/>
    </row>
    <row r="104" customFormat="false" ht="15" hidden="false" customHeight="false" outlineLevel="0" collapsed="false">
      <c r="A104" s="49" t="str">
        <f aca="false">IF($A$78="","",$A$78)</f>
        <v>B242</v>
      </c>
      <c r="B104" s="54"/>
      <c r="C104" s="54"/>
      <c r="D104" s="54"/>
      <c r="E104" s="54"/>
      <c r="F104" s="54"/>
      <c r="G104" s="54"/>
      <c r="H104" s="54"/>
      <c r="I104" s="54"/>
    </row>
    <row r="105" customFormat="false" ht="15" hidden="false" customHeight="false" outlineLevel="0" collapsed="false">
      <c r="A105" s="49" t="str">
        <f aca="false">IF($A$79="","",$A$79)</f>
        <v>B33</v>
      </c>
      <c r="B105" s="54"/>
      <c r="C105" s="54"/>
      <c r="D105" s="54"/>
      <c r="E105" s="54"/>
      <c r="F105" s="54"/>
      <c r="G105" s="54"/>
      <c r="H105" s="54"/>
      <c r="I105" s="54"/>
    </row>
    <row r="106" customFormat="false" ht="15" hidden="false" customHeight="false" outlineLevel="0" collapsed="false">
      <c r="A106" s="49" t="str">
        <f aca="false">IF($A$80="","",$A$80)</f>
        <v>B229</v>
      </c>
      <c r="B106" s="54"/>
      <c r="C106" s="54"/>
      <c r="D106" s="54"/>
      <c r="E106" s="54"/>
      <c r="F106" s="54"/>
      <c r="G106" s="54"/>
      <c r="H106" s="54"/>
      <c r="I106" s="54"/>
    </row>
    <row r="107" customFormat="false" ht="15" hidden="false" customHeight="false" outlineLevel="0" collapsed="false">
      <c r="A107" s="49" t="str">
        <f aca="false">IF($A$81="","",$A$81)</f>
        <v>NGC</v>
      </c>
      <c r="B107" s="54"/>
      <c r="C107" s="54"/>
      <c r="D107" s="54"/>
      <c r="E107" s="54"/>
      <c r="F107" s="54"/>
      <c r="G107" s="54"/>
      <c r="H107" s="54"/>
      <c r="I107" s="54"/>
    </row>
    <row r="108" customFormat="false" ht="15" hidden="false" customHeight="false" outlineLevel="0" collapsed="false">
      <c r="A108" s="49" t="str">
        <f aca="false">IF($A$82="","",$A$82)</f>
        <v/>
      </c>
      <c r="B108" s="54"/>
      <c r="C108" s="54"/>
      <c r="D108" s="54"/>
      <c r="E108" s="54"/>
      <c r="F108" s="54"/>
      <c r="G108" s="54"/>
      <c r="H108" s="54"/>
      <c r="I108" s="54"/>
    </row>
    <row r="109" customFormat="false" ht="15" hidden="false" customHeight="false" outlineLevel="0" collapsed="false">
      <c r="A109" s="49" t="str">
        <f aca="false">IF($A$83="","",$A$83)</f>
        <v/>
      </c>
      <c r="B109" s="54"/>
      <c r="C109" s="54"/>
      <c r="D109" s="54"/>
      <c r="E109" s="54"/>
      <c r="F109" s="54"/>
      <c r="G109" s="54"/>
      <c r="H109" s="54"/>
      <c r="I109" s="54"/>
    </row>
    <row r="110" customFormat="false" ht="15" hidden="false" customHeight="false" outlineLevel="0" collapsed="false">
      <c r="A110" s="40" t="s">
        <v>92</v>
      </c>
      <c r="B110" s="51" t="str">
        <f aca="false">IF(COUNT(B102:B109)=0,"",SUM(B102:B109))</f>
        <v/>
      </c>
      <c r="C110" s="51"/>
      <c r="D110" s="51" t="n">
        <f aca="false">SUM(D102:D109)</f>
        <v>0</v>
      </c>
      <c r="E110" s="51" t="n">
        <f aca="false">SUM(E102:E109)</f>
        <v>0</v>
      </c>
      <c r="F110" s="51" t="n">
        <f aca="false">SUM(F102:F109)</f>
        <v>0</v>
      </c>
      <c r="G110" s="51" t="n">
        <f aca="false">SUM(G102:G109)</f>
        <v>0</v>
      </c>
      <c r="H110" s="51" t="n">
        <f aca="false">SUM(H102:H109)</f>
        <v>0</v>
      </c>
      <c r="I110" s="51" t="n">
        <f aca="false">SUM(I102:I109)</f>
        <v>0</v>
      </c>
    </row>
  </sheetData>
  <mergeCells count="202">
    <mergeCell ref="A2:H2"/>
    <mergeCell ref="I2:M2"/>
    <mergeCell ref="J3:M3"/>
    <mergeCell ref="B5:C5"/>
    <mergeCell ref="D5:E5"/>
    <mergeCell ref="F5:G5"/>
    <mergeCell ref="H5:I5"/>
    <mergeCell ref="J5:K5"/>
    <mergeCell ref="L5:M5"/>
    <mergeCell ref="B6:C6"/>
    <mergeCell ref="D6:E6"/>
    <mergeCell ref="F6:G6"/>
    <mergeCell ref="H6:I6"/>
    <mergeCell ref="J6:K6"/>
    <mergeCell ref="L6:M6"/>
    <mergeCell ref="B7:C7"/>
    <mergeCell ref="D7:E7"/>
    <mergeCell ref="F7:G7"/>
    <mergeCell ref="H7:I7"/>
    <mergeCell ref="J7:K7"/>
    <mergeCell ref="L7:M7"/>
    <mergeCell ref="B8:C8"/>
    <mergeCell ref="D8:E8"/>
    <mergeCell ref="F8:G8"/>
    <mergeCell ref="H8:I8"/>
    <mergeCell ref="J8:K8"/>
    <mergeCell ref="L8:M8"/>
    <mergeCell ref="B10:C10"/>
    <mergeCell ref="D10:E10"/>
    <mergeCell ref="F10:G10"/>
    <mergeCell ref="H10:I10"/>
    <mergeCell ref="J10:K10"/>
    <mergeCell ref="L10:M10"/>
    <mergeCell ref="B11:C11"/>
    <mergeCell ref="D11:E11"/>
    <mergeCell ref="F11:G11"/>
    <mergeCell ref="H11:I11"/>
    <mergeCell ref="J11:K11"/>
    <mergeCell ref="L11:M11"/>
    <mergeCell ref="B12:C12"/>
    <mergeCell ref="D12:E12"/>
    <mergeCell ref="F12:G12"/>
    <mergeCell ref="H12:I12"/>
    <mergeCell ref="J12:K12"/>
    <mergeCell ref="L12:M12"/>
    <mergeCell ref="B13:C13"/>
    <mergeCell ref="D13:E13"/>
    <mergeCell ref="F13:G13"/>
    <mergeCell ref="H13:I13"/>
    <mergeCell ref="J13:K13"/>
    <mergeCell ref="L13:M13"/>
    <mergeCell ref="B16:C16"/>
    <mergeCell ref="D16:E16"/>
    <mergeCell ref="F16:G16"/>
    <mergeCell ref="H16:I16"/>
    <mergeCell ref="J16:M16"/>
    <mergeCell ref="B17:C17"/>
    <mergeCell ref="D17:E17"/>
    <mergeCell ref="F17:G17"/>
    <mergeCell ref="H17:I17"/>
    <mergeCell ref="J17:M32"/>
    <mergeCell ref="B18:C18"/>
    <mergeCell ref="D18:E18"/>
    <mergeCell ref="F18:G18"/>
    <mergeCell ref="H18:I18"/>
    <mergeCell ref="B19:C19"/>
    <mergeCell ref="D19:E19"/>
    <mergeCell ref="F19:G19"/>
    <mergeCell ref="H19:I19"/>
    <mergeCell ref="B20:C20"/>
    <mergeCell ref="D20:E20"/>
    <mergeCell ref="F20:G20"/>
    <mergeCell ref="H20:I20"/>
    <mergeCell ref="B23:C23"/>
    <mergeCell ref="D23:E23"/>
    <mergeCell ref="F23:G23"/>
    <mergeCell ref="H23:I23"/>
    <mergeCell ref="B24:C24"/>
    <mergeCell ref="D24:E24"/>
    <mergeCell ref="F24:G24"/>
    <mergeCell ref="H24:I24"/>
    <mergeCell ref="B25:C25"/>
    <mergeCell ref="D25:E25"/>
    <mergeCell ref="F25:G25"/>
    <mergeCell ref="H25:I25"/>
    <mergeCell ref="B26:C26"/>
    <mergeCell ref="D26:E26"/>
    <mergeCell ref="F26:G26"/>
    <mergeCell ref="H26:I26"/>
    <mergeCell ref="B27:C27"/>
    <mergeCell ref="D27:E27"/>
    <mergeCell ref="F27:G27"/>
    <mergeCell ref="H27:I27"/>
    <mergeCell ref="B28:C28"/>
    <mergeCell ref="D28:E28"/>
    <mergeCell ref="F28:G28"/>
    <mergeCell ref="H28:I28"/>
    <mergeCell ref="B29:C29"/>
    <mergeCell ref="D29:E29"/>
    <mergeCell ref="F29:G29"/>
    <mergeCell ref="H29:I29"/>
    <mergeCell ref="B30:C30"/>
    <mergeCell ref="D30:E30"/>
    <mergeCell ref="F30:G30"/>
    <mergeCell ref="H30:I30"/>
    <mergeCell ref="B31:C31"/>
    <mergeCell ref="D31:E31"/>
    <mergeCell ref="F31:G31"/>
    <mergeCell ref="H31:I31"/>
    <mergeCell ref="B32:C32"/>
    <mergeCell ref="D32:E32"/>
    <mergeCell ref="F32:G32"/>
    <mergeCell ref="H32:I32"/>
    <mergeCell ref="B35:D35"/>
    <mergeCell ref="E35:G35"/>
    <mergeCell ref="H35:J35"/>
    <mergeCell ref="K35:M35"/>
    <mergeCell ref="B36:D36"/>
    <mergeCell ref="E36:G36"/>
    <mergeCell ref="H36:J36"/>
    <mergeCell ref="K36:M36"/>
    <mergeCell ref="B37:D37"/>
    <mergeCell ref="E37:G37"/>
    <mergeCell ref="H37:J37"/>
    <mergeCell ref="K37:M37"/>
    <mergeCell ref="B38:D38"/>
    <mergeCell ref="E38:G38"/>
    <mergeCell ref="H38:J38"/>
    <mergeCell ref="K38:M38"/>
    <mergeCell ref="B39:D39"/>
    <mergeCell ref="E39:G39"/>
    <mergeCell ref="H39:J39"/>
    <mergeCell ref="K39:M39"/>
    <mergeCell ref="B40:D40"/>
    <mergeCell ref="E40:G40"/>
    <mergeCell ref="H40:J40"/>
    <mergeCell ref="K40:M40"/>
    <mergeCell ref="B41:D41"/>
    <mergeCell ref="E41:G41"/>
    <mergeCell ref="H41:J41"/>
    <mergeCell ref="K41:M41"/>
    <mergeCell ref="B42:D42"/>
    <mergeCell ref="E42:G42"/>
    <mergeCell ref="H42:J42"/>
    <mergeCell ref="K42:M42"/>
    <mergeCell ref="B43:D43"/>
    <mergeCell ref="E43:G43"/>
    <mergeCell ref="H43:J43"/>
    <mergeCell ref="K43:M43"/>
    <mergeCell ref="B44:D44"/>
    <mergeCell ref="E44:G44"/>
    <mergeCell ref="H44:J44"/>
    <mergeCell ref="K44:M44"/>
    <mergeCell ref="B48:C48"/>
    <mergeCell ref="D48:E48"/>
    <mergeCell ref="F48:G48"/>
    <mergeCell ref="H48:I48"/>
    <mergeCell ref="J48:K48"/>
    <mergeCell ref="L48:M48"/>
    <mergeCell ref="B59:C59"/>
    <mergeCell ref="D59:E59"/>
    <mergeCell ref="F59:G59"/>
    <mergeCell ref="H59:I59"/>
    <mergeCell ref="B60:C60"/>
    <mergeCell ref="B61:C61"/>
    <mergeCell ref="B62:C62"/>
    <mergeCell ref="B63:C63"/>
    <mergeCell ref="B64:C64"/>
    <mergeCell ref="B65:C65"/>
    <mergeCell ref="B66:C66"/>
    <mergeCell ref="B67:C67"/>
    <mergeCell ref="B68:C68"/>
    <mergeCell ref="A71:M71"/>
    <mergeCell ref="A74:A75"/>
    <mergeCell ref="B74:C74"/>
    <mergeCell ref="D74:E74"/>
    <mergeCell ref="F74:G74"/>
    <mergeCell ref="H74:I74"/>
    <mergeCell ref="J74:K74"/>
    <mergeCell ref="L74:M74"/>
    <mergeCell ref="A87:A88"/>
    <mergeCell ref="B87:C87"/>
    <mergeCell ref="D87:E87"/>
    <mergeCell ref="F87:G87"/>
    <mergeCell ref="H87:I87"/>
    <mergeCell ref="J87:K87"/>
    <mergeCell ref="L87:M87"/>
    <mergeCell ref="A100:A101"/>
    <mergeCell ref="B100:C100"/>
    <mergeCell ref="D100:E100"/>
    <mergeCell ref="F100:G100"/>
    <mergeCell ref="H100:I100"/>
    <mergeCell ref="B101:C101"/>
    <mergeCell ref="B102:C102"/>
    <mergeCell ref="B103:C103"/>
    <mergeCell ref="B104:C104"/>
    <mergeCell ref="B105:C105"/>
    <mergeCell ref="B106:C106"/>
    <mergeCell ref="B107:C107"/>
    <mergeCell ref="B108:C108"/>
    <mergeCell ref="B109:C109"/>
    <mergeCell ref="B110:C110"/>
  </mergeCells>
  <conditionalFormatting sqref="B76">
    <cfRule type="expression" priority="2" aboveAverage="0" equalAverage="0" bottom="0" percent="0" rank="0" text="" dxfId="0">
      <formula>AND(ISNUMBER(B76),ISNUMBER(C76),B76&gt;C76)</formula>
    </cfRule>
  </conditionalFormatting>
  <conditionalFormatting sqref="D76">
    <cfRule type="expression" priority="3" aboveAverage="0" equalAverage="0" bottom="0" percent="0" rank="0" text="" dxfId="0">
      <formula>AND(ISNUMBER(D76),ISNUMBER(E76),D76&gt;E76)</formula>
    </cfRule>
  </conditionalFormatting>
  <conditionalFormatting sqref="F76">
    <cfRule type="expression" priority="4" aboveAverage="0" equalAverage="0" bottom="0" percent="0" rank="0" text="" dxfId="0">
      <formula>AND(ISNUMBER(F76),ISNUMBER(G76),F76&gt;G76)</formula>
    </cfRule>
  </conditionalFormatting>
  <conditionalFormatting sqref="H76">
    <cfRule type="expression" priority="5" aboveAverage="0" equalAverage="0" bottom="0" percent="0" rank="0" text="" dxfId="0">
      <formula>AND(ISNUMBER(H76),ISNUMBER(I76),H76&gt;I76)</formula>
    </cfRule>
  </conditionalFormatting>
  <conditionalFormatting sqref="J76">
    <cfRule type="expression" priority="6" aboveAverage="0" equalAverage="0" bottom="0" percent="0" rank="0" text="" dxfId="0">
      <formula>AND(ISNUMBER(J76),ISNUMBER(K76),J76&gt;K76)</formula>
    </cfRule>
  </conditionalFormatting>
  <conditionalFormatting sqref="L76">
    <cfRule type="expression" priority="7" aboveAverage="0" equalAverage="0" bottom="0" percent="0" rank="0" text="" dxfId="0">
      <formula>AND(ISNUMBER(L76),ISNUMBER(M76),L76&gt;M76)</formula>
    </cfRule>
  </conditionalFormatting>
  <conditionalFormatting sqref="B77">
    <cfRule type="expression" priority="8" aboveAverage="0" equalAverage="0" bottom="0" percent="0" rank="0" text="" dxfId="0">
      <formula>AND(ISNUMBER(B77),ISNUMBER(C77),B77&gt;C77)</formula>
    </cfRule>
  </conditionalFormatting>
  <conditionalFormatting sqref="D77">
    <cfRule type="expression" priority="9" aboveAverage="0" equalAverage="0" bottom="0" percent="0" rank="0" text="" dxfId="0">
      <formula>AND(ISNUMBER(D77),ISNUMBER(E77),D77&gt;E77)</formula>
    </cfRule>
  </conditionalFormatting>
  <conditionalFormatting sqref="F77">
    <cfRule type="expression" priority="10" aboveAverage="0" equalAverage="0" bottom="0" percent="0" rank="0" text="" dxfId="0">
      <formula>AND(ISNUMBER(F77),ISNUMBER(G77),F77&gt;G77)</formula>
    </cfRule>
  </conditionalFormatting>
  <conditionalFormatting sqref="H77">
    <cfRule type="expression" priority="11" aboveAverage="0" equalAverage="0" bottom="0" percent="0" rank="0" text="" dxfId="0">
      <formula>AND(ISNUMBER(H77),ISNUMBER(I77),H77&gt;I77)</formula>
    </cfRule>
  </conditionalFormatting>
  <conditionalFormatting sqref="J77">
    <cfRule type="expression" priority="12" aboveAverage="0" equalAverage="0" bottom="0" percent="0" rank="0" text="" dxfId="0">
      <formula>AND(ISNUMBER(J77),ISNUMBER(K77),J77&gt;K77)</formula>
    </cfRule>
  </conditionalFormatting>
  <conditionalFormatting sqref="L77">
    <cfRule type="expression" priority="13" aboveAverage="0" equalAverage="0" bottom="0" percent="0" rank="0" text="" dxfId="0">
      <formula>AND(ISNUMBER(L77),ISNUMBER(M77),L77&gt;M77)</formula>
    </cfRule>
  </conditionalFormatting>
  <conditionalFormatting sqref="B78">
    <cfRule type="expression" priority="14" aboveAverage="0" equalAverage="0" bottom="0" percent="0" rank="0" text="" dxfId="0">
      <formula>AND(ISNUMBER(B78),ISNUMBER(C78),B78&gt;C78)</formula>
    </cfRule>
  </conditionalFormatting>
  <conditionalFormatting sqref="D78">
    <cfRule type="expression" priority="15" aboveAverage="0" equalAverage="0" bottom="0" percent="0" rank="0" text="" dxfId="0">
      <formula>AND(ISNUMBER(D78),ISNUMBER(E78),D78&gt;E78)</formula>
    </cfRule>
  </conditionalFormatting>
  <conditionalFormatting sqref="F78">
    <cfRule type="expression" priority="16" aboveAverage="0" equalAverage="0" bottom="0" percent="0" rank="0" text="" dxfId="0">
      <formula>AND(ISNUMBER(F78),ISNUMBER(G78),F78&gt;G78)</formula>
    </cfRule>
  </conditionalFormatting>
  <conditionalFormatting sqref="H78">
    <cfRule type="expression" priority="17" aboveAverage="0" equalAverage="0" bottom="0" percent="0" rank="0" text="" dxfId="0">
      <formula>AND(ISNUMBER(H78),ISNUMBER(I78),H78&gt;I78)</formula>
    </cfRule>
  </conditionalFormatting>
  <conditionalFormatting sqref="J78">
    <cfRule type="expression" priority="18" aboveAverage="0" equalAverage="0" bottom="0" percent="0" rank="0" text="" dxfId="0">
      <formula>AND(ISNUMBER(J78),ISNUMBER(K78),J78&gt;K78)</formula>
    </cfRule>
  </conditionalFormatting>
  <conditionalFormatting sqref="L78">
    <cfRule type="expression" priority="19" aboveAverage="0" equalAverage="0" bottom="0" percent="0" rank="0" text="" dxfId="0">
      <formula>AND(ISNUMBER(L78),ISNUMBER(M78),L78&gt;M78)</formula>
    </cfRule>
  </conditionalFormatting>
  <conditionalFormatting sqref="B79">
    <cfRule type="expression" priority="20" aboveAverage="0" equalAverage="0" bottom="0" percent="0" rank="0" text="" dxfId="0">
      <formula>AND(ISNUMBER(B79),ISNUMBER(C79),B79&gt;C79)</formula>
    </cfRule>
  </conditionalFormatting>
  <conditionalFormatting sqref="D79">
    <cfRule type="expression" priority="21" aboveAverage="0" equalAverage="0" bottom="0" percent="0" rank="0" text="" dxfId="0">
      <formula>AND(ISNUMBER(D79),ISNUMBER(E79),D79&gt;E79)</formula>
    </cfRule>
  </conditionalFormatting>
  <conditionalFormatting sqref="F79">
    <cfRule type="expression" priority="22" aboveAverage="0" equalAverage="0" bottom="0" percent="0" rank="0" text="" dxfId="0">
      <formula>AND(ISNUMBER(F79),ISNUMBER(G79),F79&gt;G79)</formula>
    </cfRule>
  </conditionalFormatting>
  <conditionalFormatting sqref="H79">
    <cfRule type="expression" priority="23" aboveAverage="0" equalAverage="0" bottom="0" percent="0" rank="0" text="" dxfId="0">
      <formula>AND(ISNUMBER(H79),ISNUMBER(I79),H79&gt;I79)</formula>
    </cfRule>
  </conditionalFormatting>
  <conditionalFormatting sqref="J79">
    <cfRule type="expression" priority="24" aboveAverage="0" equalAverage="0" bottom="0" percent="0" rank="0" text="" dxfId="0">
      <formula>AND(ISNUMBER(J79),ISNUMBER(K79),J79&gt;K79)</formula>
    </cfRule>
  </conditionalFormatting>
  <conditionalFormatting sqref="L79">
    <cfRule type="expression" priority="25" aboveAverage="0" equalAverage="0" bottom="0" percent="0" rank="0" text="" dxfId="0">
      <formula>AND(ISNUMBER(L79),ISNUMBER(M79),L79&gt;M79)</formula>
    </cfRule>
  </conditionalFormatting>
  <conditionalFormatting sqref="B80">
    <cfRule type="expression" priority="26" aboveAverage="0" equalAverage="0" bottom="0" percent="0" rank="0" text="" dxfId="0">
      <formula>AND(ISNUMBER(B80),ISNUMBER(C80),B80&gt;C80)</formula>
    </cfRule>
  </conditionalFormatting>
  <conditionalFormatting sqref="D80">
    <cfRule type="expression" priority="27" aboveAverage="0" equalAverage="0" bottom="0" percent="0" rank="0" text="" dxfId="0">
      <formula>AND(ISNUMBER(D80),ISNUMBER(E80),D80&gt;E80)</formula>
    </cfRule>
  </conditionalFormatting>
  <conditionalFormatting sqref="F80">
    <cfRule type="expression" priority="28" aboveAverage="0" equalAverage="0" bottom="0" percent="0" rank="0" text="" dxfId="0">
      <formula>AND(ISNUMBER(F80),ISNUMBER(G80),F80&gt;G80)</formula>
    </cfRule>
  </conditionalFormatting>
  <conditionalFormatting sqref="H80">
    <cfRule type="expression" priority="29" aboveAverage="0" equalAverage="0" bottom="0" percent="0" rank="0" text="" dxfId="0">
      <formula>AND(ISNUMBER(H80),ISNUMBER(I80),H80&gt;I80)</formula>
    </cfRule>
  </conditionalFormatting>
  <conditionalFormatting sqref="J80">
    <cfRule type="expression" priority="30" aboveAverage="0" equalAverage="0" bottom="0" percent="0" rank="0" text="" dxfId="0">
      <formula>AND(ISNUMBER(J80),ISNUMBER(K80),J80&gt;K80)</formula>
    </cfRule>
  </conditionalFormatting>
  <conditionalFormatting sqref="L80">
    <cfRule type="expression" priority="31" aboveAverage="0" equalAverage="0" bottom="0" percent="0" rank="0" text="" dxfId="0">
      <formula>AND(ISNUMBER(L80),ISNUMBER(M80),L80&gt;M80)</formula>
    </cfRule>
  </conditionalFormatting>
  <conditionalFormatting sqref="B81">
    <cfRule type="expression" priority="32" aboveAverage="0" equalAverage="0" bottom="0" percent="0" rank="0" text="" dxfId="0">
      <formula>AND(ISNUMBER(B81),ISNUMBER(C81),B81&gt;C81)</formula>
    </cfRule>
  </conditionalFormatting>
  <conditionalFormatting sqref="D81">
    <cfRule type="expression" priority="33" aboveAverage="0" equalAverage="0" bottom="0" percent="0" rank="0" text="" dxfId="0">
      <formula>AND(ISNUMBER(D81),ISNUMBER(E81),D81&gt;E81)</formula>
    </cfRule>
  </conditionalFormatting>
  <conditionalFormatting sqref="F81">
    <cfRule type="expression" priority="34" aboveAverage="0" equalAverage="0" bottom="0" percent="0" rank="0" text="" dxfId="0">
      <formula>AND(ISNUMBER(F81),ISNUMBER(G81),F81&gt;G81)</formula>
    </cfRule>
  </conditionalFormatting>
  <conditionalFormatting sqref="H81">
    <cfRule type="expression" priority="35" aboveAverage="0" equalAverage="0" bottom="0" percent="0" rank="0" text="" dxfId="0">
      <formula>AND(ISNUMBER(H81),ISNUMBER(I81),H81&gt;I81)</formula>
    </cfRule>
  </conditionalFormatting>
  <conditionalFormatting sqref="J81">
    <cfRule type="expression" priority="36" aboveAverage="0" equalAverage="0" bottom="0" percent="0" rank="0" text="" dxfId="0">
      <formula>AND(ISNUMBER(J81),ISNUMBER(K81),J81&gt;K81)</formula>
    </cfRule>
  </conditionalFormatting>
  <conditionalFormatting sqref="L81">
    <cfRule type="expression" priority="37" aboveAverage="0" equalAverage="0" bottom="0" percent="0" rank="0" text="" dxfId="0">
      <formula>AND(ISNUMBER(L81),ISNUMBER(M81),L81&gt;M81)</formula>
    </cfRule>
  </conditionalFormatting>
  <conditionalFormatting sqref="B82">
    <cfRule type="expression" priority="38" aboveAverage="0" equalAverage="0" bottom="0" percent="0" rank="0" text="" dxfId="0">
      <formula>AND(ISNUMBER(B82),ISNUMBER(C82),B82&gt;C82)</formula>
    </cfRule>
  </conditionalFormatting>
  <conditionalFormatting sqref="D82">
    <cfRule type="expression" priority="39" aboveAverage="0" equalAverage="0" bottom="0" percent="0" rank="0" text="" dxfId="0">
      <formula>AND(ISNUMBER(D82),ISNUMBER(E82),D82&gt;E82)</formula>
    </cfRule>
  </conditionalFormatting>
  <conditionalFormatting sqref="F82">
    <cfRule type="expression" priority="40" aboveAverage="0" equalAverage="0" bottom="0" percent="0" rank="0" text="" dxfId="0">
      <formula>AND(ISNUMBER(F82),ISNUMBER(G82),F82&gt;G82)</formula>
    </cfRule>
  </conditionalFormatting>
  <conditionalFormatting sqref="H82">
    <cfRule type="expression" priority="41" aboveAverage="0" equalAverage="0" bottom="0" percent="0" rank="0" text="" dxfId="0">
      <formula>AND(ISNUMBER(H82),ISNUMBER(I82),H82&gt;I82)</formula>
    </cfRule>
  </conditionalFormatting>
  <conditionalFormatting sqref="J82">
    <cfRule type="expression" priority="42" aboveAverage="0" equalAverage="0" bottom="0" percent="0" rank="0" text="" dxfId="0">
      <formula>AND(ISNUMBER(J82),ISNUMBER(K82),J82&gt;K82)</formula>
    </cfRule>
  </conditionalFormatting>
  <conditionalFormatting sqref="L82">
    <cfRule type="expression" priority="43" aboveAverage="0" equalAverage="0" bottom="0" percent="0" rank="0" text="" dxfId="0">
      <formula>AND(ISNUMBER(L82),ISNUMBER(M82),L82&gt;M82)</formula>
    </cfRule>
  </conditionalFormatting>
  <conditionalFormatting sqref="B83">
    <cfRule type="expression" priority="44" aboveAverage="0" equalAverage="0" bottom="0" percent="0" rank="0" text="" dxfId="0">
      <formula>AND(ISNUMBER(B83),ISNUMBER(C83),B83&gt;C83)</formula>
    </cfRule>
  </conditionalFormatting>
  <conditionalFormatting sqref="D83">
    <cfRule type="expression" priority="45" aboveAverage="0" equalAverage="0" bottom="0" percent="0" rank="0" text="" dxfId="0">
      <formula>AND(ISNUMBER(D83),ISNUMBER(E83),D83&gt;E83)</formula>
    </cfRule>
  </conditionalFormatting>
  <conditionalFormatting sqref="F83">
    <cfRule type="expression" priority="46" aboveAverage="0" equalAverage="0" bottom="0" percent="0" rank="0" text="" dxfId="0">
      <formula>AND(ISNUMBER(F83),ISNUMBER(G83),F83&gt;G83)</formula>
    </cfRule>
  </conditionalFormatting>
  <conditionalFormatting sqref="H83">
    <cfRule type="expression" priority="47" aboveAverage="0" equalAverage="0" bottom="0" percent="0" rank="0" text="" dxfId="0">
      <formula>AND(ISNUMBER(H83),ISNUMBER(I83),H83&gt;I83)</formula>
    </cfRule>
  </conditionalFormatting>
  <conditionalFormatting sqref="J83">
    <cfRule type="expression" priority="48" aboveAverage="0" equalAverage="0" bottom="0" percent="0" rank="0" text="" dxfId="0">
      <formula>AND(ISNUMBER(J83),ISNUMBER(K83),J83&gt;K83)</formula>
    </cfRule>
  </conditionalFormatting>
  <conditionalFormatting sqref="L83">
    <cfRule type="expression" priority="49" aboveAverage="0" equalAverage="0" bottom="0" percent="0" rank="0" text="" dxfId="0">
      <formula>AND(ISNUMBER(L83),ISNUMBER(M83),L83&gt;M83)</formula>
    </cfRule>
  </conditionalFormatting>
  <conditionalFormatting sqref="B89">
    <cfRule type="expression" priority="50" aboveAverage="0" equalAverage="0" bottom="0" percent="0" rank="0" text="" dxfId="0">
      <formula>AND(ISNUMBER(B89),ISNUMBER(C89),B89&gt;C89)</formula>
    </cfRule>
  </conditionalFormatting>
  <conditionalFormatting sqref="D89">
    <cfRule type="expression" priority="51" aboveAverage="0" equalAverage="0" bottom="0" percent="0" rank="0" text="" dxfId="0">
      <formula>AND(ISNUMBER(D89),ISNUMBER(E89),D89&gt;E89)</formula>
    </cfRule>
  </conditionalFormatting>
  <conditionalFormatting sqref="F89">
    <cfRule type="expression" priority="52" aboveAverage="0" equalAverage="0" bottom="0" percent="0" rank="0" text="" dxfId="0">
      <formula>AND(ISNUMBER(F89),ISNUMBER(G89),F89&gt;G89)</formula>
    </cfRule>
  </conditionalFormatting>
  <conditionalFormatting sqref="H89">
    <cfRule type="expression" priority="53" aboveAverage="0" equalAverage="0" bottom="0" percent="0" rank="0" text="" dxfId="0">
      <formula>AND(ISNUMBER(H89),ISNUMBER(I89),H89&gt;I89)</formula>
    </cfRule>
  </conditionalFormatting>
  <conditionalFormatting sqref="J89">
    <cfRule type="expression" priority="54" aboveAverage="0" equalAverage="0" bottom="0" percent="0" rank="0" text="" dxfId="0">
      <formula>AND(ISNUMBER(J89),ISNUMBER(K89),J89&gt;K89)</formula>
    </cfRule>
  </conditionalFormatting>
  <conditionalFormatting sqref="L89">
    <cfRule type="expression" priority="55" aboveAverage="0" equalAverage="0" bottom="0" percent="0" rank="0" text="" dxfId="0">
      <formula>AND(ISNUMBER(L89),ISNUMBER(M89),L89&gt;M89)</formula>
    </cfRule>
  </conditionalFormatting>
  <conditionalFormatting sqref="B90">
    <cfRule type="expression" priority="56" aboveAverage="0" equalAverage="0" bottom="0" percent="0" rank="0" text="" dxfId="0">
      <formula>AND(ISNUMBER(B90),ISNUMBER(C90),B90&gt;C90)</formula>
    </cfRule>
  </conditionalFormatting>
  <conditionalFormatting sqref="D90">
    <cfRule type="expression" priority="57" aboveAverage="0" equalAverage="0" bottom="0" percent="0" rank="0" text="" dxfId="0">
      <formula>AND(ISNUMBER(D90),ISNUMBER(E90),D90&gt;E90)</formula>
    </cfRule>
  </conditionalFormatting>
  <conditionalFormatting sqref="F90">
    <cfRule type="expression" priority="58" aboveAverage="0" equalAverage="0" bottom="0" percent="0" rank="0" text="" dxfId="0">
      <formula>AND(ISNUMBER(F90),ISNUMBER(G90),F90&gt;G90)</formula>
    </cfRule>
  </conditionalFormatting>
  <conditionalFormatting sqref="H90">
    <cfRule type="expression" priority="59" aboveAverage="0" equalAverage="0" bottom="0" percent="0" rank="0" text="" dxfId="0">
      <formula>AND(ISNUMBER(H90),ISNUMBER(I90),H90&gt;I90)</formula>
    </cfRule>
  </conditionalFormatting>
  <conditionalFormatting sqref="J90">
    <cfRule type="expression" priority="60" aboveAverage="0" equalAverage="0" bottom="0" percent="0" rank="0" text="" dxfId="0">
      <formula>AND(ISNUMBER(J90),ISNUMBER(K90),J90&gt;K90)</formula>
    </cfRule>
  </conditionalFormatting>
  <conditionalFormatting sqref="L90">
    <cfRule type="expression" priority="61" aboveAverage="0" equalAverage="0" bottom="0" percent="0" rank="0" text="" dxfId="0">
      <formula>AND(ISNUMBER(L90),ISNUMBER(M90),L90&gt;M90)</formula>
    </cfRule>
  </conditionalFormatting>
  <conditionalFormatting sqref="B91">
    <cfRule type="expression" priority="62" aboveAverage="0" equalAverage="0" bottom="0" percent="0" rank="0" text="" dxfId="0">
      <formula>AND(ISNUMBER(B91),ISNUMBER(C91),B91&gt;C91)</formula>
    </cfRule>
  </conditionalFormatting>
  <conditionalFormatting sqref="D91">
    <cfRule type="expression" priority="63" aboveAverage="0" equalAverage="0" bottom="0" percent="0" rank="0" text="" dxfId="0">
      <formula>AND(ISNUMBER(D91),ISNUMBER(E91),D91&gt;E91)</formula>
    </cfRule>
  </conditionalFormatting>
  <conditionalFormatting sqref="F91">
    <cfRule type="expression" priority="64" aboveAverage="0" equalAverage="0" bottom="0" percent="0" rank="0" text="" dxfId="0">
      <formula>AND(ISNUMBER(F91),ISNUMBER(G91),F91&gt;G91)</formula>
    </cfRule>
  </conditionalFormatting>
  <conditionalFormatting sqref="H91">
    <cfRule type="expression" priority="65" aboveAverage="0" equalAverage="0" bottom="0" percent="0" rank="0" text="" dxfId="0">
      <formula>AND(ISNUMBER(H91),ISNUMBER(I91),H91&gt;I91)</formula>
    </cfRule>
  </conditionalFormatting>
  <conditionalFormatting sqref="J91">
    <cfRule type="expression" priority="66" aboveAverage="0" equalAverage="0" bottom="0" percent="0" rank="0" text="" dxfId="0">
      <formula>AND(ISNUMBER(J91),ISNUMBER(K91),J91&gt;K91)</formula>
    </cfRule>
  </conditionalFormatting>
  <conditionalFormatting sqref="L91">
    <cfRule type="expression" priority="67" aboveAverage="0" equalAverage="0" bottom="0" percent="0" rank="0" text="" dxfId="0">
      <formula>AND(ISNUMBER(L91),ISNUMBER(M91),L91&gt;M91)</formula>
    </cfRule>
  </conditionalFormatting>
  <conditionalFormatting sqref="B92">
    <cfRule type="expression" priority="68" aboveAverage="0" equalAverage="0" bottom="0" percent="0" rank="0" text="" dxfId="0">
      <formula>AND(ISNUMBER(B92),ISNUMBER(C92),B92&gt;C92)</formula>
    </cfRule>
  </conditionalFormatting>
  <conditionalFormatting sqref="D92">
    <cfRule type="expression" priority="69" aboveAverage="0" equalAverage="0" bottom="0" percent="0" rank="0" text="" dxfId="0">
      <formula>AND(ISNUMBER(D92),ISNUMBER(E92),D92&gt;E92)</formula>
    </cfRule>
  </conditionalFormatting>
  <conditionalFormatting sqref="F92">
    <cfRule type="expression" priority="70" aboveAverage="0" equalAverage="0" bottom="0" percent="0" rank="0" text="" dxfId="0">
      <formula>AND(ISNUMBER(F92),ISNUMBER(G92),F92&gt;G92)</formula>
    </cfRule>
  </conditionalFormatting>
  <conditionalFormatting sqref="H92">
    <cfRule type="expression" priority="71" aboveAverage="0" equalAverage="0" bottom="0" percent="0" rank="0" text="" dxfId="0">
      <formula>AND(ISNUMBER(H92),ISNUMBER(I92),H92&gt;I92)</formula>
    </cfRule>
  </conditionalFormatting>
  <conditionalFormatting sqref="J92">
    <cfRule type="expression" priority="72" aboveAverage="0" equalAverage="0" bottom="0" percent="0" rank="0" text="" dxfId="0">
      <formula>AND(ISNUMBER(J92),ISNUMBER(K92),J92&gt;K92)</formula>
    </cfRule>
  </conditionalFormatting>
  <conditionalFormatting sqref="L92">
    <cfRule type="expression" priority="73" aboveAverage="0" equalAverage="0" bottom="0" percent="0" rank="0" text="" dxfId="0">
      <formula>AND(ISNUMBER(L92),ISNUMBER(M92),L92&gt;M92)</formula>
    </cfRule>
  </conditionalFormatting>
  <conditionalFormatting sqref="B93">
    <cfRule type="expression" priority="74" aboveAverage="0" equalAverage="0" bottom="0" percent="0" rank="0" text="" dxfId="0">
      <formula>AND(ISNUMBER(B93),ISNUMBER(C93),B93&gt;C93)</formula>
    </cfRule>
  </conditionalFormatting>
  <conditionalFormatting sqref="D93">
    <cfRule type="expression" priority="75" aboveAverage="0" equalAverage="0" bottom="0" percent="0" rank="0" text="" dxfId="0">
      <formula>AND(ISNUMBER(D93),ISNUMBER(E93),D93&gt;E93)</formula>
    </cfRule>
  </conditionalFormatting>
  <conditionalFormatting sqref="F93">
    <cfRule type="expression" priority="76" aboveAverage="0" equalAverage="0" bottom="0" percent="0" rank="0" text="" dxfId="0">
      <formula>AND(ISNUMBER(F93),ISNUMBER(G93),F93&gt;G93)</formula>
    </cfRule>
  </conditionalFormatting>
  <conditionalFormatting sqref="H93">
    <cfRule type="expression" priority="77" aboveAverage="0" equalAverage="0" bottom="0" percent="0" rank="0" text="" dxfId="0">
      <formula>AND(ISNUMBER(H93),ISNUMBER(I93),H93&gt;I93)</formula>
    </cfRule>
  </conditionalFormatting>
  <conditionalFormatting sqref="J93">
    <cfRule type="expression" priority="78" aboveAverage="0" equalAverage="0" bottom="0" percent="0" rank="0" text="" dxfId="0">
      <formula>AND(ISNUMBER(J93),ISNUMBER(K93),J93&gt;K93)</formula>
    </cfRule>
  </conditionalFormatting>
  <conditionalFormatting sqref="L93">
    <cfRule type="expression" priority="79" aboveAverage="0" equalAverage="0" bottom="0" percent="0" rank="0" text="" dxfId="0">
      <formula>AND(ISNUMBER(L93),ISNUMBER(M93),L93&gt;M93)</formula>
    </cfRule>
  </conditionalFormatting>
  <conditionalFormatting sqref="B94">
    <cfRule type="expression" priority="80" aboveAverage="0" equalAverage="0" bottom="0" percent="0" rank="0" text="" dxfId="0">
      <formula>AND(ISNUMBER(B94),ISNUMBER(C94),B94&gt;C94)</formula>
    </cfRule>
  </conditionalFormatting>
  <conditionalFormatting sqref="D94">
    <cfRule type="expression" priority="81" aboveAverage="0" equalAverage="0" bottom="0" percent="0" rank="0" text="" dxfId="0">
      <formula>AND(ISNUMBER(D94),ISNUMBER(E94),D94&gt;E94)</formula>
    </cfRule>
  </conditionalFormatting>
  <conditionalFormatting sqref="F94">
    <cfRule type="expression" priority="82" aboveAverage="0" equalAverage="0" bottom="0" percent="0" rank="0" text="" dxfId="0">
      <formula>AND(ISNUMBER(F94),ISNUMBER(G94),F94&gt;G94)</formula>
    </cfRule>
  </conditionalFormatting>
  <conditionalFormatting sqref="H94">
    <cfRule type="expression" priority="83" aboveAverage="0" equalAverage="0" bottom="0" percent="0" rank="0" text="" dxfId="0">
      <formula>AND(ISNUMBER(H94),ISNUMBER(I94),H94&gt;I94)</formula>
    </cfRule>
  </conditionalFormatting>
  <conditionalFormatting sqref="J94">
    <cfRule type="expression" priority="84" aboveAverage="0" equalAverage="0" bottom="0" percent="0" rank="0" text="" dxfId="0">
      <formula>AND(ISNUMBER(J94),ISNUMBER(K94),J94&gt;K94)</formula>
    </cfRule>
  </conditionalFormatting>
  <conditionalFormatting sqref="L94">
    <cfRule type="expression" priority="85" aboveAverage="0" equalAverage="0" bottom="0" percent="0" rank="0" text="" dxfId="0">
      <formula>AND(ISNUMBER(L94),ISNUMBER(M94),L94&gt;M94)</formula>
    </cfRule>
  </conditionalFormatting>
  <conditionalFormatting sqref="B95">
    <cfRule type="expression" priority="86" aboveAverage="0" equalAverage="0" bottom="0" percent="0" rank="0" text="" dxfId="0">
      <formula>AND(ISNUMBER(B95),ISNUMBER(C95),B95&gt;C95)</formula>
    </cfRule>
  </conditionalFormatting>
  <conditionalFormatting sqref="D95">
    <cfRule type="expression" priority="87" aboveAverage="0" equalAverage="0" bottom="0" percent="0" rank="0" text="" dxfId="0">
      <formula>AND(ISNUMBER(D95),ISNUMBER(E95),D95&gt;E95)</formula>
    </cfRule>
  </conditionalFormatting>
  <conditionalFormatting sqref="F95">
    <cfRule type="expression" priority="88" aboveAverage="0" equalAverage="0" bottom="0" percent="0" rank="0" text="" dxfId="0">
      <formula>AND(ISNUMBER(F95),ISNUMBER(G95),F95&gt;G95)</formula>
    </cfRule>
  </conditionalFormatting>
  <conditionalFormatting sqref="H95">
    <cfRule type="expression" priority="89" aboveAverage="0" equalAverage="0" bottom="0" percent="0" rank="0" text="" dxfId="0">
      <formula>AND(ISNUMBER(H95),ISNUMBER(I95),H95&gt;I95)</formula>
    </cfRule>
  </conditionalFormatting>
  <conditionalFormatting sqref="J95">
    <cfRule type="expression" priority="90" aboveAverage="0" equalAverage="0" bottom="0" percent="0" rank="0" text="" dxfId="0">
      <formula>AND(ISNUMBER(J95),ISNUMBER(K95),J95&gt;K95)</formula>
    </cfRule>
  </conditionalFormatting>
  <conditionalFormatting sqref="L95">
    <cfRule type="expression" priority="91" aboveAverage="0" equalAverage="0" bottom="0" percent="0" rank="0" text="" dxfId="0">
      <formula>AND(ISNUMBER(L95),ISNUMBER(M95),L95&gt;M95)</formula>
    </cfRule>
  </conditionalFormatting>
  <conditionalFormatting sqref="B96">
    <cfRule type="expression" priority="92" aboveAverage="0" equalAverage="0" bottom="0" percent="0" rank="0" text="" dxfId="0">
      <formula>AND(ISNUMBER(B96),ISNUMBER(C96),B96&gt;C96)</formula>
    </cfRule>
  </conditionalFormatting>
  <conditionalFormatting sqref="D96">
    <cfRule type="expression" priority="93" aboveAverage="0" equalAverage="0" bottom="0" percent="0" rank="0" text="" dxfId="0">
      <formula>AND(ISNUMBER(D96),ISNUMBER(E96),D96&gt;E96)</formula>
    </cfRule>
  </conditionalFormatting>
  <conditionalFormatting sqref="F96">
    <cfRule type="expression" priority="94" aboveAverage="0" equalAverage="0" bottom="0" percent="0" rank="0" text="" dxfId="0">
      <formula>AND(ISNUMBER(F96),ISNUMBER(G96),F96&gt;G96)</formula>
    </cfRule>
  </conditionalFormatting>
  <conditionalFormatting sqref="H96">
    <cfRule type="expression" priority="95" aboveAverage="0" equalAverage="0" bottom="0" percent="0" rank="0" text="" dxfId="0">
      <formula>AND(ISNUMBER(H96),ISNUMBER(I96),H96&gt;I96)</formula>
    </cfRule>
  </conditionalFormatting>
  <conditionalFormatting sqref="J96">
    <cfRule type="expression" priority="96" aboveAverage="0" equalAverage="0" bottom="0" percent="0" rank="0" text="" dxfId="0">
      <formula>AND(ISNUMBER(J96),ISNUMBER(K96),J96&gt;K96)</formula>
    </cfRule>
  </conditionalFormatting>
  <conditionalFormatting sqref="L96">
    <cfRule type="expression" priority="97" aboveAverage="0" equalAverage="0" bottom="0" percent="0" rank="0" text="" dxfId="0">
      <formula>AND(ISNUMBER(L96),ISNUMBER(M96),L96&gt;M96)</formula>
    </cfRule>
  </conditionalFormatting>
  <conditionalFormatting sqref="D102">
    <cfRule type="expression" priority="98" aboveAverage="0" equalAverage="0" bottom="0" percent="0" rank="0" text="" dxfId="0">
      <formula>AND(ISNUMBER(D102),ISNUMBER(E102),D102&gt;E102)</formula>
    </cfRule>
  </conditionalFormatting>
  <conditionalFormatting sqref="F102">
    <cfRule type="expression" priority="99" aboveAverage="0" equalAverage="0" bottom="0" percent="0" rank="0" text="" dxfId="0">
      <formula>AND(ISNUMBER(F102),ISNUMBER(G102),F102&gt;G102)</formula>
    </cfRule>
  </conditionalFormatting>
  <conditionalFormatting sqref="H102">
    <cfRule type="expression" priority="100" aboveAverage="0" equalAverage="0" bottom="0" percent="0" rank="0" text="" dxfId="0">
      <formula>AND(ISNUMBER(H102),ISNUMBER(I102),H102&gt;I102)</formula>
    </cfRule>
  </conditionalFormatting>
  <conditionalFormatting sqref="D103">
    <cfRule type="expression" priority="101" aboveAverage="0" equalAverage="0" bottom="0" percent="0" rank="0" text="" dxfId="0">
      <formula>AND(ISNUMBER(D103),ISNUMBER(E103),D103&gt;E103)</formula>
    </cfRule>
  </conditionalFormatting>
  <conditionalFormatting sqref="F103">
    <cfRule type="expression" priority="102" aboveAverage="0" equalAverage="0" bottom="0" percent="0" rank="0" text="" dxfId="0">
      <formula>AND(ISNUMBER(F103),ISNUMBER(G103),F103&gt;G103)</formula>
    </cfRule>
  </conditionalFormatting>
  <conditionalFormatting sqref="H103">
    <cfRule type="expression" priority="103" aboveAverage="0" equalAverage="0" bottom="0" percent="0" rank="0" text="" dxfId="0">
      <formula>AND(ISNUMBER(H103),ISNUMBER(I103),H103&gt;I103)</formula>
    </cfRule>
  </conditionalFormatting>
  <conditionalFormatting sqref="D104">
    <cfRule type="expression" priority="104" aboveAverage="0" equalAverage="0" bottom="0" percent="0" rank="0" text="" dxfId="0">
      <formula>AND(ISNUMBER(D104),ISNUMBER(E104),D104&gt;E104)</formula>
    </cfRule>
  </conditionalFormatting>
  <conditionalFormatting sqref="F104">
    <cfRule type="expression" priority="105" aboveAverage="0" equalAverage="0" bottom="0" percent="0" rank="0" text="" dxfId="0">
      <formula>AND(ISNUMBER(F104),ISNUMBER(G104),F104&gt;G104)</formula>
    </cfRule>
  </conditionalFormatting>
  <conditionalFormatting sqref="H104">
    <cfRule type="expression" priority="106" aboveAverage="0" equalAverage="0" bottom="0" percent="0" rank="0" text="" dxfId="0">
      <formula>AND(ISNUMBER(H104),ISNUMBER(I104),H104&gt;I104)</formula>
    </cfRule>
  </conditionalFormatting>
  <conditionalFormatting sqref="D105">
    <cfRule type="expression" priority="107" aboveAverage="0" equalAverage="0" bottom="0" percent="0" rank="0" text="" dxfId="0">
      <formula>AND(ISNUMBER(D105),ISNUMBER(E105),D105&gt;E105)</formula>
    </cfRule>
  </conditionalFormatting>
  <conditionalFormatting sqref="F105">
    <cfRule type="expression" priority="108" aboveAverage="0" equalAverage="0" bottom="0" percent="0" rank="0" text="" dxfId="0">
      <formula>AND(ISNUMBER(F105),ISNUMBER(G105),F105&gt;G105)</formula>
    </cfRule>
  </conditionalFormatting>
  <conditionalFormatting sqref="H105">
    <cfRule type="expression" priority="109" aboveAverage="0" equalAverage="0" bottom="0" percent="0" rank="0" text="" dxfId="0">
      <formula>AND(ISNUMBER(H105),ISNUMBER(I105),H105&gt;I105)</formula>
    </cfRule>
  </conditionalFormatting>
  <conditionalFormatting sqref="D106">
    <cfRule type="expression" priority="110" aboveAverage="0" equalAverage="0" bottom="0" percent="0" rank="0" text="" dxfId="0">
      <formula>AND(ISNUMBER(D106),ISNUMBER(E106),D106&gt;E106)</formula>
    </cfRule>
  </conditionalFormatting>
  <conditionalFormatting sqref="F106">
    <cfRule type="expression" priority="111" aboveAverage="0" equalAverage="0" bottom="0" percent="0" rank="0" text="" dxfId="0">
      <formula>AND(ISNUMBER(F106),ISNUMBER(G106),F106&gt;G106)</formula>
    </cfRule>
  </conditionalFormatting>
  <conditionalFormatting sqref="H106">
    <cfRule type="expression" priority="112" aboveAverage="0" equalAverage="0" bottom="0" percent="0" rank="0" text="" dxfId="0">
      <formula>AND(ISNUMBER(H106),ISNUMBER(I106),H106&gt;I106)</formula>
    </cfRule>
  </conditionalFormatting>
  <conditionalFormatting sqref="D107">
    <cfRule type="expression" priority="113" aboveAverage="0" equalAverage="0" bottom="0" percent="0" rank="0" text="" dxfId="0">
      <formula>AND(ISNUMBER(D107),ISNUMBER(E107),D107&gt;E107)</formula>
    </cfRule>
  </conditionalFormatting>
  <conditionalFormatting sqref="F107">
    <cfRule type="expression" priority="114" aboveAverage="0" equalAverage="0" bottom="0" percent="0" rank="0" text="" dxfId="0">
      <formula>AND(ISNUMBER(F107),ISNUMBER(G107),F107&gt;G107)</formula>
    </cfRule>
  </conditionalFormatting>
  <conditionalFormatting sqref="H107">
    <cfRule type="expression" priority="115" aboveAverage="0" equalAverage="0" bottom="0" percent="0" rank="0" text="" dxfId="0">
      <formula>AND(ISNUMBER(H107),ISNUMBER(I107),H107&gt;I107)</formula>
    </cfRule>
  </conditionalFormatting>
  <conditionalFormatting sqref="D108">
    <cfRule type="expression" priority="116" aboveAverage="0" equalAverage="0" bottom="0" percent="0" rank="0" text="" dxfId="0">
      <formula>AND(ISNUMBER(D108),ISNUMBER(E108),D108&gt;E108)</formula>
    </cfRule>
  </conditionalFormatting>
  <conditionalFormatting sqref="F108">
    <cfRule type="expression" priority="117" aboveAverage="0" equalAverage="0" bottom="0" percent="0" rank="0" text="" dxfId="0">
      <formula>AND(ISNUMBER(F108),ISNUMBER(G108),F108&gt;G108)</formula>
    </cfRule>
  </conditionalFormatting>
  <conditionalFormatting sqref="H108">
    <cfRule type="expression" priority="118" aboveAverage="0" equalAverage="0" bottom="0" percent="0" rank="0" text="" dxfId="0">
      <formula>AND(ISNUMBER(H108),ISNUMBER(I108),H108&gt;I108)</formula>
    </cfRule>
  </conditionalFormatting>
  <conditionalFormatting sqref="D109">
    <cfRule type="expression" priority="119" aboveAverage="0" equalAverage="0" bottom="0" percent="0" rank="0" text="" dxfId="0">
      <formula>AND(ISNUMBER(D109),ISNUMBER(E109),D109&gt;E109)</formula>
    </cfRule>
  </conditionalFormatting>
  <conditionalFormatting sqref="F109">
    <cfRule type="expression" priority="120" aboveAverage="0" equalAverage="0" bottom="0" percent="0" rank="0" text="" dxfId="0">
      <formula>AND(ISNUMBER(F109),ISNUMBER(G109),F109&gt;G109)</formula>
    </cfRule>
  </conditionalFormatting>
  <conditionalFormatting sqref="H109">
    <cfRule type="expression" priority="121" aboveAverage="0" equalAverage="0" bottom="0" percent="0" rank="0" text="" dxfId="0">
      <formula>AND(ISNUMBER(H109),ISNUMBER(I109),H109&gt;I109)</formula>
    </cfRule>
  </conditionalFormatting>
  <conditionalFormatting sqref="B6:C8">
    <cfRule type="expression" priority="122" aboveAverage="0" equalAverage="0" bottom="0" percent="0" rank="0" text="" dxfId="1">
      <formula>$B$8="Green"</formula>
    </cfRule>
    <cfRule type="expression" priority="123" aboveAverage="0" equalAverage="0" bottom="0" percent="0" rank="0" text="" dxfId="2">
      <formula>$B$8="Amber"</formula>
    </cfRule>
    <cfRule type="expression" priority="124" aboveAverage="0" equalAverage="0" bottom="0" percent="0" rank="0" text="" dxfId="0">
      <formula>$B$8="Red"</formula>
    </cfRule>
    <cfRule type="expression" priority="125" aboveAverage="0" equalAverage="0" bottom="0" percent="0" rank="0" text="" dxfId="3">
      <formula>$B$8="N/A"</formula>
    </cfRule>
  </conditionalFormatting>
  <conditionalFormatting sqref="B10:C12">
    <cfRule type="expression" priority="126" aboveAverage="0" equalAverage="0" bottom="0" percent="0" rank="0" text="" dxfId="1">
      <formula>$B$12="Green"</formula>
    </cfRule>
    <cfRule type="expression" priority="127" aboveAverage="0" equalAverage="0" bottom="0" percent="0" rank="0" text="" dxfId="2">
      <formula>$B$12="Amber"</formula>
    </cfRule>
    <cfRule type="expression" priority="128" aboveAverage="0" equalAverage="0" bottom="0" percent="0" rank="0" text="" dxfId="0">
      <formula>$B$12="Red"</formula>
    </cfRule>
    <cfRule type="expression" priority="129" aboveAverage="0" equalAverage="0" bottom="0" percent="0" rank="0" text="" dxfId="3">
      <formula>$B$12="N/A"</formula>
    </cfRule>
  </conditionalFormatting>
  <conditionalFormatting sqref="D6:E8">
    <cfRule type="expression" priority="130" aboveAverage="0" equalAverage="0" bottom="0" percent="0" rank="0" text="" dxfId="1">
      <formula>$D$8="Green"</formula>
    </cfRule>
    <cfRule type="expression" priority="131" aboveAverage="0" equalAverage="0" bottom="0" percent="0" rank="0" text="" dxfId="2">
      <formula>$D$8="Amber"</formula>
    </cfRule>
    <cfRule type="expression" priority="132" aboveAverage="0" equalAverage="0" bottom="0" percent="0" rank="0" text="" dxfId="0">
      <formula>$D$8="Red"</formula>
    </cfRule>
    <cfRule type="expression" priority="133" aboveAverage="0" equalAverage="0" bottom="0" percent="0" rank="0" text="" dxfId="3">
      <formula>$D$8="N/A"</formula>
    </cfRule>
  </conditionalFormatting>
  <conditionalFormatting sqref="D10:E12">
    <cfRule type="expression" priority="134" aboveAverage="0" equalAverage="0" bottom="0" percent="0" rank="0" text="" dxfId="1">
      <formula>$D$12="Green"</formula>
    </cfRule>
    <cfRule type="expression" priority="135" aboveAverage="0" equalAverage="0" bottom="0" percent="0" rank="0" text="" dxfId="2">
      <formula>$D$12="Amber"</formula>
    </cfRule>
    <cfRule type="expression" priority="136" aboveAverage="0" equalAverage="0" bottom="0" percent="0" rank="0" text="" dxfId="0">
      <formula>$D$12="Red"</formula>
    </cfRule>
    <cfRule type="expression" priority="137" aboveAverage="0" equalAverage="0" bottom="0" percent="0" rank="0" text="" dxfId="3">
      <formula>$D$12="N/A"</formula>
    </cfRule>
  </conditionalFormatting>
  <conditionalFormatting sqref="F6:G8">
    <cfRule type="expression" priority="138" aboveAverage="0" equalAverage="0" bottom="0" percent="0" rank="0" text="" dxfId="1">
      <formula>$F$8="Green"</formula>
    </cfRule>
    <cfRule type="expression" priority="139" aboveAverage="0" equalAverage="0" bottom="0" percent="0" rank="0" text="" dxfId="2">
      <formula>$F$8="Amber"</formula>
    </cfRule>
    <cfRule type="expression" priority="140" aboveAverage="0" equalAverage="0" bottom="0" percent="0" rank="0" text="" dxfId="0">
      <formula>$F$8="Red"</formula>
    </cfRule>
    <cfRule type="expression" priority="141" aboveAverage="0" equalAverage="0" bottom="0" percent="0" rank="0" text="" dxfId="3">
      <formula>$F$8="N/A"</formula>
    </cfRule>
  </conditionalFormatting>
  <conditionalFormatting sqref="F10:G12">
    <cfRule type="expression" priority="142" aboveAverage="0" equalAverage="0" bottom="0" percent="0" rank="0" text="" dxfId="1">
      <formula>$F$12="Green"</formula>
    </cfRule>
    <cfRule type="expression" priority="143" aboveAverage="0" equalAverage="0" bottom="0" percent="0" rank="0" text="" dxfId="2">
      <formula>$F$12="Amber"</formula>
    </cfRule>
    <cfRule type="expression" priority="144" aboveAverage="0" equalAverage="0" bottom="0" percent="0" rank="0" text="" dxfId="0">
      <formula>$F$12="Red"</formula>
    </cfRule>
    <cfRule type="expression" priority="145" aboveAverage="0" equalAverage="0" bottom="0" percent="0" rank="0" text="" dxfId="3">
      <formula>$F$12="N/A"</formula>
    </cfRule>
  </conditionalFormatting>
  <conditionalFormatting sqref="H6:I8">
    <cfRule type="expression" priority="146" aboveAverage="0" equalAverage="0" bottom="0" percent="0" rank="0" text="" dxfId="1">
      <formula>$H$8="Green"</formula>
    </cfRule>
    <cfRule type="expression" priority="147" aboveAverage="0" equalAverage="0" bottom="0" percent="0" rank="0" text="" dxfId="2">
      <formula>$H$8="Amber"</formula>
    </cfRule>
    <cfRule type="expression" priority="148" aboveAverage="0" equalAverage="0" bottom="0" percent="0" rank="0" text="" dxfId="0">
      <formula>$H$8="Red"</formula>
    </cfRule>
    <cfRule type="expression" priority="149" aboveAverage="0" equalAverage="0" bottom="0" percent="0" rank="0" text="" dxfId="3">
      <formula>$H$8="N/A"</formula>
    </cfRule>
  </conditionalFormatting>
  <conditionalFormatting sqref="H10:I12">
    <cfRule type="expression" priority="150" aboveAverage="0" equalAverage="0" bottom="0" percent="0" rank="0" text="" dxfId="1">
      <formula>$H$12="Green"</formula>
    </cfRule>
    <cfRule type="expression" priority="151" aboveAverage="0" equalAverage="0" bottom="0" percent="0" rank="0" text="" dxfId="2">
      <formula>$H$12="Amber"</formula>
    </cfRule>
    <cfRule type="expression" priority="152" aboveAverage="0" equalAverage="0" bottom="0" percent="0" rank="0" text="" dxfId="0">
      <formula>$H$12="Red"</formula>
    </cfRule>
    <cfRule type="expression" priority="153" aboveAverage="0" equalAverage="0" bottom="0" percent="0" rank="0" text="" dxfId="3">
      <formula>$H$12="N/A"</formula>
    </cfRule>
  </conditionalFormatting>
  <conditionalFormatting sqref="J6:K8">
    <cfRule type="expression" priority="154" aboveAverage="0" equalAverage="0" bottom="0" percent="0" rank="0" text="" dxfId="1">
      <formula>$J$8="Green"</formula>
    </cfRule>
    <cfRule type="expression" priority="155" aboveAverage="0" equalAverage="0" bottom="0" percent="0" rank="0" text="" dxfId="2">
      <formula>$J$8="Amber"</formula>
    </cfRule>
    <cfRule type="expression" priority="156" aboveAverage="0" equalAverage="0" bottom="0" percent="0" rank="0" text="" dxfId="0">
      <formula>$J$8="Red"</formula>
    </cfRule>
    <cfRule type="expression" priority="157" aboveAverage="0" equalAverage="0" bottom="0" percent="0" rank="0" text="" dxfId="3">
      <formula>$J$8="N/A"</formula>
    </cfRule>
  </conditionalFormatting>
  <conditionalFormatting sqref="J10:K12">
    <cfRule type="expression" priority="158" aboveAverage="0" equalAverage="0" bottom="0" percent="0" rank="0" text="" dxfId="1">
      <formula>$J$12="Green"</formula>
    </cfRule>
    <cfRule type="expression" priority="159" aboveAverage="0" equalAverage="0" bottom="0" percent="0" rank="0" text="" dxfId="2">
      <formula>$J$12="Amber"</formula>
    </cfRule>
    <cfRule type="expression" priority="160" aboveAverage="0" equalAverage="0" bottom="0" percent="0" rank="0" text="" dxfId="0">
      <formula>$J$12="Red"</formula>
    </cfRule>
    <cfRule type="expression" priority="161" aboveAverage="0" equalAverage="0" bottom="0" percent="0" rank="0" text="" dxfId="3">
      <formula>$J$12="N/A"</formula>
    </cfRule>
  </conditionalFormatting>
  <conditionalFormatting sqref="L6:M8">
    <cfRule type="expression" priority="162" aboveAverage="0" equalAverage="0" bottom="0" percent="0" rank="0" text="" dxfId="1">
      <formula>$L$8="Green"</formula>
    </cfRule>
    <cfRule type="expression" priority="163" aboveAverage="0" equalAverage="0" bottom="0" percent="0" rank="0" text="" dxfId="2">
      <formula>$L$8="Amber"</formula>
    </cfRule>
    <cfRule type="expression" priority="164" aboveAverage="0" equalAverage="0" bottom="0" percent="0" rank="0" text="" dxfId="0">
      <formula>$L$8="Red"</formula>
    </cfRule>
    <cfRule type="expression" priority="165" aboveAverage="0" equalAverage="0" bottom="0" percent="0" rank="0" text="" dxfId="3">
      <formula>$L$8="N/A"</formula>
    </cfRule>
  </conditionalFormatting>
  <conditionalFormatting sqref="L10:M12">
    <cfRule type="expression" priority="166" aboveAverage="0" equalAverage="0" bottom="0" percent="0" rank="0" text="" dxfId="1">
      <formula>$L$12="Green"</formula>
    </cfRule>
    <cfRule type="expression" priority="167" aboveAverage="0" equalAverage="0" bottom="0" percent="0" rank="0" text="" dxfId="2">
      <formula>$L$12="Amber"</formula>
    </cfRule>
    <cfRule type="expression" priority="168" aboveAverage="0" equalAverage="0" bottom="0" percent="0" rank="0" text="" dxfId="0">
      <formula>$L$12="Red"</formula>
    </cfRule>
    <cfRule type="expression" priority="169" aboveAverage="0" equalAverage="0" bottom="0" percent="0" rank="0" text="" dxfId="3">
      <formula>$L$12="N/A"</formula>
    </cfRule>
  </conditionalFormatting>
  <conditionalFormatting sqref="B18:C20">
    <cfRule type="expression" priority="170" aboveAverage="0" equalAverage="0" bottom="0" percent="0" rank="0" text="" dxfId="1">
      <formula>$B$20="Green"</formula>
    </cfRule>
    <cfRule type="expression" priority="171" aboveAverage="0" equalAverage="0" bottom="0" percent="0" rank="0" text="" dxfId="2">
      <formula>$B$20="Amber"</formula>
    </cfRule>
    <cfRule type="expression" priority="172" aboveAverage="0" equalAverage="0" bottom="0" percent="0" rank="0" text="" dxfId="0">
      <formula>$B$20="Red"</formula>
    </cfRule>
    <cfRule type="expression" priority="173" aboveAverage="0" equalAverage="0" bottom="0" percent="0" rank="0" text="" dxfId="3">
      <formula>$B$20="N/A"</formula>
    </cfRule>
  </conditionalFormatting>
  <conditionalFormatting sqref="D18:E20">
    <cfRule type="expression" priority="174" aboveAverage="0" equalAverage="0" bottom="0" percent="0" rank="0" text="" dxfId="1">
      <formula>$D$20="Green"</formula>
    </cfRule>
    <cfRule type="expression" priority="175" aboveAverage="0" equalAverage="0" bottom="0" percent="0" rank="0" text="" dxfId="2">
      <formula>$D$20="Amber"</formula>
    </cfRule>
    <cfRule type="expression" priority="176" aboveAverage="0" equalAverage="0" bottom="0" percent="0" rank="0" text="" dxfId="0">
      <formula>$D$20="Red"</formula>
    </cfRule>
    <cfRule type="expression" priority="177" aboveAverage="0" equalAverage="0" bottom="0" percent="0" rank="0" text="" dxfId="3">
      <formula>$D$20="N/A"</formula>
    </cfRule>
  </conditionalFormatting>
  <conditionalFormatting sqref="F18:G20">
    <cfRule type="expression" priority="178" aboveAverage="0" equalAverage="0" bottom="0" percent="0" rank="0" text="" dxfId="1">
      <formula>$F$20="Green"</formula>
    </cfRule>
    <cfRule type="expression" priority="179" aboveAverage="0" equalAverage="0" bottom="0" percent="0" rank="0" text="" dxfId="2">
      <formula>$F$20="Amber"</formula>
    </cfRule>
    <cfRule type="expression" priority="180" aboveAverage="0" equalAverage="0" bottom="0" percent="0" rank="0" text="" dxfId="0">
      <formula>$F$20="Red"</formula>
    </cfRule>
    <cfRule type="expression" priority="181" aboveAverage="0" equalAverage="0" bottom="0" percent="0" rank="0" text="" dxfId="3">
      <formula>$F$20="N/A"</formula>
    </cfRule>
  </conditionalFormatting>
  <conditionalFormatting sqref="H18:I20">
    <cfRule type="expression" priority="182" aboveAverage="0" equalAverage="0" bottom="0" percent="0" rank="0" text="" dxfId="1">
      <formula>$H$20="Green"</formula>
    </cfRule>
    <cfRule type="expression" priority="183" aboveAverage="0" equalAverage="0" bottom="0" percent="0" rank="0" text="" dxfId="2">
      <formula>$H$20="Amber"</formula>
    </cfRule>
    <cfRule type="expression" priority="184" aboveAverage="0" equalAverage="0" bottom="0" percent="0" rank="0" text="" dxfId="0">
      <formula>$H$20="Red"</formula>
    </cfRule>
    <cfRule type="expression" priority="185" aboveAverage="0" equalAverage="0" bottom="0" percent="0" rank="0" text="" dxfId="3">
      <formula>$H$20="N/A"</formula>
    </cfRule>
  </conditionalFormatting>
  <conditionalFormatting sqref="B49">
    <cfRule type="expression" priority="186" aboveAverage="0" equalAverage="0" bottom="0" percent="0" rank="0" text="" dxfId="1">
      <formula>AND(ISNUMBER(B49),B49&gt;PBI_G)</formula>
    </cfRule>
    <cfRule type="expression" priority="187" aboveAverage="0" equalAverage="0" bottom="0" percent="0" rank="0" text="" dxfId="2">
      <formula>AND(ISNUMBER(B49),B49&lt;=PBI_G,B49&gt;=PBI_R)</formula>
    </cfRule>
    <cfRule type="expression" priority="188" aboveAverage="0" equalAverage="0" bottom="0" percent="0" rank="0" text="" dxfId="0">
      <formula>AND(ISNUMBER(B49),B49&lt;PBI_R)</formula>
    </cfRule>
    <cfRule type="expression" priority="189" aboveAverage="0" equalAverage="0" bottom="0" percent="0" rank="0" text="" dxfId="3">
      <formula>B49="N/A"</formula>
    </cfRule>
  </conditionalFormatting>
  <conditionalFormatting sqref="D49">
    <cfRule type="expression" priority="190" aboveAverage="0" equalAverage="0" bottom="0" percent="0" rank="0" text="" dxfId="1">
      <formula>AND(ISNUMBER(D49),D49&gt;PBI_G)</formula>
    </cfRule>
    <cfRule type="expression" priority="191" aboveAverage="0" equalAverage="0" bottom="0" percent="0" rank="0" text="" dxfId="2">
      <formula>AND(ISNUMBER(D49),D49&lt;=PBI_G,D49&gt;=PBI_R)</formula>
    </cfRule>
    <cfRule type="expression" priority="192" aboveAverage="0" equalAverage="0" bottom="0" percent="0" rank="0" text="" dxfId="0">
      <formula>AND(ISNUMBER(D49),D49&lt;PBI_R)</formula>
    </cfRule>
    <cfRule type="expression" priority="193" aboveAverage="0" equalAverage="0" bottom="0" percent="0" rank="0" text="" dxfId="3">
      <formula>D49="N/A"</formula>
    </cfRule>
  </conditionalFormatting>
  <conditionalFormatting sqref="F49">
    <cfRule type="expression" priority="194" aboveAverage="0" equalAverage="0" bottom="0" percent="0" rank="0" text="" dxfId="1">
      <formula>AND(ISNUMBER(F49),F49&gt;PBI_G)</formula>
    </cfRule>
    <cfRule type="expression" priority="195" aboveAverage="0" equalAverage="0" bottom="0" percent="0" rank="0" text="" dxfId="2">
      <formula>AND(ISNUMBER(F49),F49&lt;=PBI_G,F49&gt;=PBI_R)</formula>
    </cfRule>
    <cfRule type="expression" priority="196" aboveAverage="0" equalAverage="0" bottom="0" percent="0" rank="0" text="" dxfId="0">
      <formula>AND(ISNUMBER(F49),F49&lt;PBI_R)</formula>
    </cfRule>
    <cfRule type="expression" priority="197" aboveAverage="0" equalAverage="0" bottom="0" percent="0" rank="0" text="" dxfId="3">
      <formula>F49="N/A"</formula>
    </cfRule>
  </conditionalFormatting>
  <conditionalFormatting sqref="H49">
    <cfRule type="expression" priority="198" aboveAverage="0" equalAverage="0" bottom="0" percent="0" rank="0" text="" dxfId="1">
      <formula>AND(ISNUMBER(H49),H49&gt;PBI_G)</formula>
    </cfRule>
    <cfRule type="expression" priority="199" aboveAverage="0" equalAverage="0" bottom="0" percent="0" rank="0" text="" dxfId="2">
      <formula>AND(ISNUMBER(H49),H49&lt;=PBI_G,H49&gt;=PBI_R)</formula>
    </cfRule>
    <cfRule type="expression" priority="200" aboveAverage="0" equalAverage="0" bottom="0" percent="0" rank="0" text="" dxfId="0">
      <formula>AND(ISNUMBER(H49),H49&lt;PBI_R)</formula>
    </cfRule>
    <cfRule type="expression" priority="201" aboveAverage="0" equalAverage="0" bottom="0" percent="0" rank="0" text="" dxfId="3">
      <formula>H49="N/A"</formula>
    </cfRule>
  </conditionalFormatting>
  <conditionalFormatting sqref="J49">
    <cfRule type="expression" priority="202" aboveAverage="0" equalAverage="0" bottom="0" percent="0" rank="0" text="" dxfId="1">
      <formula>AND(ISNUMBER(J49),J49&gt;PBI_G)</formula>
    </cfRule>
    <cfRule type="expression" priority="203" aboveAverage="0" equalAverage="0" bottom="0" percent="0" rank="0" text="" dxfId="2">
      <formula>AND(ISNUMBER(J49),J49&lt;=PBI_G,J49&gt;=PBI_R)</formula>
    </cfRule>
    <cfRule type="expression" priority="204" aboveAverage="0" equalAverage="0" bottom="0" percent="0" rank="0" text="" dxfId="0">
      <formula>AND(ISNUMBER(J49),J49&lt;PBI_R)</formula>
    </cfRule>
    <cfRule type="expression" priority="205" aboveAverage="0" equalAverage="0" bottom="0" percent="0" rank="0" text="" dxfId="3">
      <formula>J49="N/A"</formula>
    </cfRule>
  </conditionalFormatting>
  <conditionalFormatting sqref="L49">
    <cfRule type="expression" priority="206" aboveAverage="0" equalAverage="0" bottom="0" percent="0" rank="0" text="" dxfId="1">
      <formula>AND(ISNUMBER(L49),L49&gt;PBI_G)</formula>
    </cfRule>
    <cfRule type="expression" priority="207" aboveAverage="0" equalAverage="0" bottom="0" percent="0" rank="0" text="" dxfId="2">
      <formula>AND(ISNUMBER(L49),L49&lt;=PBI_G,L49&gt;=PBI_R)</formula>
    </cfRule>
    <cfRule type="expression" priority="208" aboveAverage="0" equalAverage="0" bottom="0" percent="0" rank="0" text="" dxfId="0">
      <formula>AND(ISNUMBER(L49),L49&lt;PBI_R)</formula>
    </cfRule>
    <cfRule type="expression" priority="209" aboveAverage="0" equalAverage="0" bottom="0" percent="0" rank="0" text="" dxfId="3">
      <formula>L49="N/A"</formula>
    </cfRule>
  </conditionalFormatting>
  <conditionalFormatting sqref="B50">
    <cfRule type="expression" priority="210" aboveAverage="0" equalAverage="0" bottom="0" percent="0" rank="0" text="" dxfId="1">
      <formula>AND(ISNUMBER(B50),B50&gt;PBI_G)</formula>
    </cfRule>
    <cfRule type="expression" priority="211" aboveAverage="0" equalAverage="0" bottom="0" percent="0" rank="0" text="" dxfId="2">
      <formula>AND(ISNUMBER(B50),B50&lt;=PBI_G,B50&gt;=PBI_R)</formula>
    </cfRule>
    <cfRule type="expression" priority="212" aboveAverage="0" equalAverage="0" bottom="0" percent="0" rank="0" text="" dxfId="0">
      <formula>AND(ISNUMBER(B50),B50&lt;PBI_R)</formula>
    </cfRule>
    <cfRule type="expression" priority="213" aboveAverage="0" equalAverage="0" bottom="0" percent="0" rank="0" text="" dxfId="3">
      <formula>B50="N/A"</formula>
    </cfRule>
  </conditionalFormatting>
  <conditionalFormatting sqref="D50">
    <cfRule type="expression" priority="214" aboveAverage="0" equalAverage="0" bottom="0" percent="0" rank="0" text="" dxfId="1">
      <formula>AND(ISNUMBER(D50),D50&gt;PBI_G)</formula>
    </cfRule>
    <cfRule type="expression" priority="215" aboveAverage="0" equalAverage="0" bottom="0" percent="0" rank="0" text="" dxfId="2">
      <formula>AND(ISNUMBER(D50),D50&lt;=PBI_G,D50&gt;=PBI_R)</formula>
    </cfRule>
    <cfRule type="expression" priority="216" aboveAverage="0" equalAverage="0" bottom="0" percent="0" rank="0" text="" dxfId="0">
      <formula>AND(ISNUMBER(D50),D50&lt;PBI_R)</formula>
    </cfRule>
    <cfRule type="expression" priority="217" aboveAverage="0" equalAverage="0" bottom="0" percent="0" rank="0" text="" dxfId="3">
      <formula>D50="N/A"</formula>
    </cfRule>
  </conditionalFormatting>
  <conditionalFormatting sqref="F50">
    <cfRule type="expression" priority="218" aboveAverage="0" equalAverage="0" bottom="0" percent="0" rank="0" text="" dxfId="1">
      <formula>AND(ISNUMBER(F50),F50&gt;PBI_G)</formula>
    </cfRule>
    <cfRule type="expression" priority="219" aboveAverage="0" equalAverage="0" bottom="0" percent="0" rank="0" text="" dxfId="2">
      <formula>AND(ISNUMBER(F50),F50&lt;=PBI_G,F50&gt;=PBI_R)</formula>
    </cfRule>
    <cfRule type="expression" priority="220" aboveAverage="0" equalAverage="0" bottom="0" percent="0" rank="0" text="" dxfId="0">
      <formula>AND(ISNUMBER(F50),F50&lt;PBI_R)</formula>
    </cfRule>
    <cfRule type="expression" priority="221" aboveAverage="0" equalAverage="0" bottom="0" percent="0" rank="0" text="" dxfId="3">
      <formula>F50="N/A"</formula>
    </cfRule>
  </conditionalFormatting>
  <conditionalFormatting sqref="H50">
    <cfRule type="expression" priority="222" aboveAverage="0" equalAverage="0" bottom="0" percent="0" rank="0" text="" dxfId="1">
      <formula>AND(ISNUMBER(H50),H50&gt;PBI_G)</formula>
    </cfRule>
    <cfRule type="expression" priority="223" aboveAverage="0" equalAverage="0" bottom="0" percent="0" rank="0" text="" dxfId="2">
      <formula>AND(ISNUMBER(H50),H50&lt;=PBI_G,H50&gt;=PBI_R)</formula>
    </cfRule>
    <cfRule type="expression" priority="224" aboveAverage="0" equalAverage="0" bottom="0" percent="0" rank="0" text="" dxfId="0">
      <formula>AND(ISNUMBER(H50),H50&lt;PBI_R)</formula>
    </cfRule>
    <cfRule type="expression" priority="225" aboveAverage="0" equalAverage="0" bottom="0" percent="0" rank="0" text="" dxfId="3">
      <formula>H50="N/A"</formula>
    </cfRule>
  </conditionalFormatting>
  <conditionalFormatting sqref="J50">
    <cfRule type="expression" priority="226" aboveAverage="0" equalAverage="0" bottom="0" percent="0" rank="0" text="" dxfId="1">
      <formula>AND(ISNUMBER(J50),J50&gt;PBI_G)</formula>
    </cfRule>
    <cfRule type="expression" priority="227" aboveAverage="0" equalAverage="0" bottom="0" percent="0" rank="0" text="" dxfId="2">
      <formula>AND(ISNUMBER(J50),J50&lt;=PBI_G,J50&gt;=PBI_R)</formula>
    </cfRule>
    <cfRule type="expression" priority="228" aboveAverage="0" equalAverage="0" bottom="0" percent="0" rank="0" text="" dxfId="0">
      <formula>AND(ISNUMBER(J50),J50&lt;PBI_R)</formula>
    </cfRule>
    <cfRule type="expression" priority="229" aboveAverage="0" equalAverage="0" bottom="0" percent="0" rank="0" text="" dxfId="3">
      <formula>J50="N/A"</formula>
    </cfRule>
  </conditionalFormatting>
  <conditionalFormatting sqref="L50">
    <cfRule type="expression" priority="230" aboveAverage="0" equalAverage="0" bottom="0" percent="0" rank="0" text="" dxfId="1">
      <formula>AND(ISNUMBER(L50),L50&gt;PBI_G)</formula>
    </cfRule>
    <cfRule type="expression" priority="231" aboveAverage="0" equalAverage="0" bottom="0" percent="0" rank="0" text="" dxfId="2">
      <formula>AND(ISNUMBER(L50),L50&lt;=PBI_G,L50&gt;=PBI_R)</formula>
    </cfRule>
    <cfRule type="expression" priority="232" aboveAverage="0" equalAverage="0" bottom="0" percent="0" rank="0" text="" dxfId="0">
      <formula>AND(ISNUMBER(L50),L50&lt;PBI_R)</formula>
    </cfRule>
    <cfRule type="expression" priority="233" aboveAverage="0" equalAverage="0" bottom="0" percent="0" rank="0" text="" dxfId="3">
      <formula>L50="N/A"</formula>
    </cfRule>
  </conditionalFormatting>
  <conditionalFormatting sqref="B51">
    <cfRule type="expression" priority="234" aboveAverage="0" equalAverage="0" bottom="0" percent="0" rank="0" text="" dxfId="1">
      <formula>AND(ISNUMBER(B51),B51&gt;PBI_G)</formula>
    </cfRule>
    <cfRule type="expression" priority="235" aboveAverage="0" equalAverage="0" bottom="0" percent="0" rank="0" text="" dxfId="2">
      <formula>AND(ISNUMBER(B51),B51&lt;=PBI_G,B51&gt;=PBI_R)</formula>
    </cfRule>
    <cfRule type="expression" priority="236" aboveAverage="0" equalAverage="0" bottom="0" percent="0" rank="0" text="" dxfId="0">
      <formula>AND(ISNUMBER(B51),B51&lt;PBI_R)</formula>
    </cfRule>
    <cfRule type="expression" priority="237" aboveAverage="0" equalAverage="0" bottom="0" percent="0" rank="0" text="" dxfId="3">
      <formula>B51="N/A"</formula>
    </cfRule>
  </conditionalFormatting>
  <conditionalFormatting sqref="D51">
    <cfRule type="expression" priority="238" aboveAverage="0" equalAverage="0" bottom="0" percent="0" rank="0" text="" dxfId="1">
      <formula>AND(ISNUMBER(D51),D51&gt;PBI_G)</formula>
    </cfRule>
    <cfRule type="expression" priority="239" aboveAverage="0" equalAverage="0" bottom="0" percent="0" rank="0" text="" dxfId="2">
      <formula>AND(ISNUMBER(D51),D51&lt;=PBI_G,D51&gt;=PBI_R)</formula>
    </cfRule>
    <cfRule type="expression" priority="240" aboveAverage="0" equalAverage="0" bottom="0" percent="0" rank="0" text="" dxfId="0">
      <formula>AND(ISNUMBER(D51),D51&lt;PBI_R)</formula>
    </cfRule>
    <cfRule type="expression" priority="241" aboveAverage="0" equalAverage="0" bottom="0" percent="0" rank="0" text="" dxfId="3">
      <formula>D51="N/A"</formula>
    </cfRule>
  </conditionalFormatting>
  <conditionalFormatting sqref="F51">
    <cfRule type="expression" priority="242" aboveAverage="0" equalAverage="0" bottom="0" percent="0" rank="0" text="" dxfId="1">
      <formula>AND(ISNUMBER(F51),F51&gt;PBI_G)</formula>
    </cfRule>
    <cfRule type="expression" priority="243" aboveAverage="0" equalAverage="0" bottom="0" percent="0" rank="0" text="" dxfId="2">
      <formula>AND(ISNUMBER(F51),F51&lt;=PBI_G,F51&gt;=PBI_R)</formula>
    </cfRule>
    <cfRule type="expression" priority="244" aboveAverage="0" equalAverage="0" bottom="0" percent="0" rank="0" text="" dxfId="0">
      <formula>AND(ISNUMBER(F51),F51&lt;PBI_R)</formula>
    </cfRule>
    <cfRule type="expression" priority="245" aboveAverage="0" equalAverage="0" bottom="0" percent="0" rank="0" text="" dxfId="3">
      <formula>F51="N/A"</formula>
    </cfRule>
  </conditionalFormatting>
  <conditionalFormatting sqref="H51">
    <cfRule type="expression" priority="246" aboveAverage="0" equalAverage="0" bottom="0" percent="0" rank="0" text="" dxfId="1">
      <formula>AND(ISNUMBER(H51),H51&gt;PBI_G)</formula>
    </cfRule>
    <cfRule type="expression" priority="247" aboveAverage="0" equalAverage="0" bottom="0" percent="0" rank="0" text="" dxfId="2">
      <formula>AND(ISNUMBER(H51),H51&lt;=PBI_G,H51&gt;=PBI_R)</formula>
    </cfRule>
    <cfRule type="expression" priority="248" aboveAverage="0" equalAverage="0" bottom="0" percent="0" rank="0" text="" dxfId="0">
      <formula>AND(ISNUMBER(H51),H51&lt;PBI_R)</formula>
    </cfRule>
    <cfRule type="expression" priority="249" aboveAverage="0" equalAverage="0" bottom="0" percent="0" rank="0" text="" dxfId="3">
      <formula>H51="N/A"</formula>
    </cfRule>
  </conditionalFormatting>
  <conditionalFormatting sqref="J51">
    <cfRule type="expression" priority="250" aboveAverage="0" equalAverage="0" bottom="0" percent="0" rank="0" text="" dxfId="1">
      <formula>AND(ISNUMBER(J51),J51&gt;PBI_G)</formula>
    </cfRule>
    <cfRule type="expression" priority="251" aboveAverage="0" equalAverage="0" bottom="0" percent="0" rank="0" text="" dxfId="2">
      <formula>AND(ISNUMBER(J51),J51&lt;=PBI_G,J51&gt;=PBI_R)</formula>
    </cfRule>
    <cfRule type="expression" priority="252" aboveAverage="0" equalAverage="0" bottom="0" percent="0" rank="0" text="" dxfId="0">
      <formula>AND(ISNUMBER(J51),J51&lt;PBI_R)</formula>
    </cfRule>
    <cfRule type="expression" priority="253" aboveAverage="0" equalAverage="0" bottom="0" percent="0" rank="0" text="" dxfId="3">
      <formula>J51="N/A"</formula>
    </cfRule>
  </conditionalFormatting>
  <conditionalFormatting sqref="L51">
    <cfRule type="expression" priority="254" aboveAverage="0" equalAverage="0" bottom="0" percent="0" rank="0" text="" dxfId="1">
      <formula>AND(ISNUMBER(L51),L51&gt;PBI_G)</formula>
    </cfRule>
    <cfRule type="expression" priority="255" aboveAverage="0" equalAverage="0" bottom="0" percent="0" rank="0" text="" dxfId="2">
      <formula>AND(ISNUMBER(L51),L51&lt;=PBI_G,L51&gt;=PBI_R)</formula>
    </cfRule>
    <cfRule type="expression" priority="256" aboveAverage="0" equalAverage="0" bottom="0" percent="0" rank="0" text="" dxfId="0">
      <formula>AND(ISNUMBER(L51),L51&lt;PBI_R)</formula>
    </cfRule>
    <cfRule type="expression" priority="257" aboveAverage="0" equalAverage="0" bottom="0" percent="0" rank="0" text="" dxfId="3">
      <formula>L51="N/A"</formula>
    </cfRule>
  </conditionalFormatting>
  <conditionalFormatting sqref="B52">
    <cfRule type="expression" priority="258" aboveAverage="0" equalAverage="0" bottom="0" percent="0" rank="0" text="" dxfId="1">
      <formula>AND(ISNUMBER(B52),B52&gt;PBI_G)</formula>
    </cfRule>
    <cfRule type="expression" priority="259" aboveAverage="0" equalAverage="0" bottom="0" percent="0" rank="0" text="" dxfId="2">
      <formula>AND(ISNUMBER(B52),B52&lt;=PBI_G,B52&gt;=PBI_R)</formula>
    </cfRule>
    <cfRule type="expression" priority="260" aboveAverage="0" equalAverage="0" bottom="0" percent="0" rank="0" text="" dxfId="0">
      <formula>AND(ISNUMBER(B52),B52&lt;PBI_R)</formula>
    </cfRule>
    <cfRule type="expression" priority="261" aboveAverage="0" equalAverage="0" bottom="0" percent="0" rank="0" text="" dxfId="3">
      <formula>B52="N/A"</formula>
    </cfRule>
  </conditionalFormatting>
  <conditionalFormatting sqref="D52">
    <cfRule type="expression" priority="262" aboveAverage="0" equalAverage="0" bottom="0" percent="0" rank="0" text="" dxfId="1">
      <formula>AND(ISNUMBER(D52),D52&gt;PBI_G)</formula>
    </cfRule>
    <cfRule type="expression" priority="263" aboveAverage="0" equalAverage="0" bottom="0" percent="0" rank="0" text="" dxfId="2">
      <formula>AND(ISNUMBER(D52),D52&lt;=PBI_G,D52&gt;=PBI_R)</formula>
    </cfRule>
    <cfRule type="expression" priority="264" aboveAverage="0" equalAverage="0" bottom="0" percent="0" rank="0" text="" dxfId="0">
      <formula>AND(ISNUMBER(D52),D52&lt;PBI_R)</formula>
    </cfRule>
    <cfRule type="expression" priority="265" aboveAverage="0" equalAverage="0" bottom="0" percent="0" rank="0" text="" dxfId="3">
      <formula>D52="N/A"</formula>
    </cfRule>
  </conditionalFormatting>
  <conditionalFormatting sqref="F52">
    <cfRule type="expression" priority="266" aboveAverage="0" equalAverage="0" bottom="0" percent="0" rank="0" text="" dxfId="1">
      <formula>AND(ISNUMBER(F52),F52&gt;PBI_G)</formula>
    </cfRule>
    <cfRule type="expression" priority="267" aboveAverage="0" equalAverage="0" bottom="0" percent="0" rank="0" text="" dxfId="2">
      <formula>AND(ISNUMBER(F52),F52&lt;=PBI_G,F52&gt;=PBI_R)</formula>
    </cfRule>
    <cfRule type="expression" priority="268" aboveAverage="0" equalAverage="0" bottom="0" percent="0" rank="0" text="" dxfId="0">
      <formula>AND(ISNUMBER(F52),F52&lt;PBI_R)</formula>
    </cfRule>
    <cfRule type="expression" priority="269" aboveAverage="0" equalAverage="0" bottom="0" percent="0" rank="0" text="" dxfId="3">
      <formula>F52="N/A"</formula>
    </cfRule>
  </conditionalFormatting>
  <conditionalFormatting sqref="H52">
    <cfRule type="expression" priority="270" aboveAverage="0" equalAverage="0" bottom="0" percent="0" rank="0" text="" dxfId="1">
      <formula>AND(ISNUMBER(H52),H52&gt;PBI_G)</formula>
    </cfRule>
    <cfRule type="expression" priority="271" aboveAverage="0" equalAverage="0" bottom="0" percent="0" rank="0" text="" dxfId="2">
      <formula>AND(ISNUMBER(H52),H52&lt;=PBI_G,H52&gt;=PBI_R)</formula>
    </cfRule>
    <cfRule type="expression" priority="272" aboveAverage="0" equalAverage="0" bottom="0" percent="0" rank="0" text="" dxfId="0">
      <formula>AND(ISNUMBER(H52),H52&lt;PBI_R)</formula>
    </cfRule>
    <cfRule type="expression" priority="273" aboveAverage="0" equalAverage="0" bottom="0" percent="0" rank="0" text="" dxfId="3">
      <formula>H52="N/A"</formula>
    </cfRule>
  </conditionalFormatting>
  <conditionalFormatting sqref="J52">
    <cfRule type="expression" priority="274" aboveAverage="0" equalAverage="0" bottom="0" percent="0" rank="0" text="" dxfId="1">
      <formula>AND(ISNUMBER(J52),J52&gt;PBI_G)</formula>
    </cfRule>
    <cfRule type="expression" priority="275" aboveAverage="0" equalAverage="0" bottom="0" percent="0" rank="0" text="" dxfId="2">
      <formula>AND(ISNUMBER(J52),J52&lt;=PBI_G,J52&gt;=PBI_R)</formula>
    </cfRule>
    <cfRule type="expression" priority="276" aboveAverage="0" equalAverage="0" bottom="0" percent="0" rank="0" text="" dxfId="0">
      <formula>AND(ISNUMBER(J52),J52&lt;PBI_R)</formula>
    </cfRule>
    <cfRule type="expression" priority="277" aboveAverage="0" equalAverage="0" bottom="0" percent="0" rank="0" text="" dxfId="3">
      <formula>J52="N/A"</formula>
    </cfRule>
  </conditionalFormatting>
  <conditionalFormatting sqref="L52">
    <cfRule type="expression" priority="278" aboveAverage="0" equalAverage="0" bottom="0" percent="0" rank="0" text="" dxfId="1">
      <formula>AND(ISNUMBER(L52),L52&gt;PBI_G)</formula>
    </cfRule>
    <cfRule type="expression" priority="279" aboveAverage="0" equalAverage="0" bottom="0" percent="0" rank="0" text="" dxfId="2">
      <formula>AND(ISNUMBER(L52),L52&lt;=PBI_G,L52&gt;=PBI_R)</formula>
    </cfRule>
    <cfRule type="expression" priority="280" aboveAverage="0" equalAverage="0" bottom="0" percent="0" rank="0" text="" dxfId="0">
      <formula>AND(ISNUMBER(L52),L52&lt;PBI_R)</formula>
    </cfRule>
    <cfRule type="expression" priority="281" aboveAverage="0" equalAverage="0" bottom="0" percent="0" rank="0" text="" dxfId="3">
      <formula>L52="N/A"</formula>
    </cfRule>
  </conditionalFormatting>
  <conditionalFormatting sqref="B53">
    <cfRule type="expression" priority="282" aboveAverage="0" equalAverage="0" bottom="0" percent="0" rank="0" text="" dxfId="1">
      <formula>AND(ISNUMBER(B53),B53&gt;PBI_G)</formula>
    </cfRule>
    <cfRule type="expression" priority="283" aboveAverage="0" equalAverage="0" bottom="0" percent="0" rank="0" text="" dxfId="2">
      <formula>AND(ISNUMBER(B53),B53&lt;=PBI_G,B53&gt;=PBI_R)</formula>
    </cfRule>
    <cfRule type="expression" priority="284" aboveAverage="0" equalAverage="0" bottom="0" percent="0" rank="0" text="" dxfId="0">
      <formula>AND(ISNUMBER(B53),B53&lt;PBI_R)</formula>
    </cfRule>
    <cfRule type="expression" priority="285" aboveAverage="0" equalAverage="0" bottom="0" percent="0" rank="0" text="" dxfId="3">
      <formula>B53="N/A"</formula>
    </cfRule>
  </conditionalFormatting>
  <conditionalFormatting sqref="D53">
    <cfRule type="expression" priority="286" aboveAverage="0" equalAverage="0" bottom="0" percent="0" rank="0" text="" dxfId="1">
      <formula>AND(ISNUMBER(D53),D53&gt;PBI_G)</formula>
    </cfRule>
    <cfRule type="expression" priority="287" aboveAverage="0" equalAverage="0" bottom="0" percent="0" rank="0" text="" dxfId="2">
      <formula>AND(ISNUMBER(D53),D53&lt;=PBI_G,D53&gt;=PBI_R)</formula>
    </cfRule>
    <cfRule type="expression" priority="288" aboveAverage="0" equalAverage="0" bottom="0" percent="0" rank="0" text="" dxfId="0">
      <formula>AND(ISNUMBER(D53),D53&lt;PBI_R)</formula>
    </cfRule>
    <cfRule type="expression" priority="289" aboveAverage="0" equalAverage="0" bottom="0" percent="0" rank="0" text="" dxfId="3">
      <formula>D53="N/A"</formula>
    </cfRule>
  </conditionalFormatting>
  <conditionalFormatting sqref="F53">
    <cfRule type="expression" priority="290" aboveAverage="0" equalAverage="0" bottom="0" percent="0" rank="0" text="" dxfId="1">
      <formula>AND(ISNUMBER(F53),F53&gt;PBI_G)</formula>
    </cfRule>
    <cfRule type="expression" priority="291" aboveAverage="0" equalAverage="0" bottom="0" percent="0" rank="0" text="" dxfId="2">
      <formula>AND(ISNUMBER(F53),F53&lt;=PBI_G,F53&gt;=PBI_R)</formula>
    </cfRule>
    <cfRule type="expression" priority="292" aboveAverage="0" equalAverage="0" bottom="0" percent="0" rank="0" text="" dxfId="0">
      <formula>AND(ISNUMBER(F53),F53&lt;PBI_R)</formula>
    </cfRule>
    <cfRule type="expression" priority="293" aboveAverage="0" equalAverage="0" bottom="0" percent="0" rank="0" text="" dxfId="3">
      <formula>F53="N/A"</formula>
    </cfRule>
  </conditionalFormatting>
  <conditionalFormatting sqref="H53">
    <cfRule type="expression" priority="294" aboveAverage="0" equalAverage="0" bottom="0" percent="0" rank="0" text="" dxfId="1">
      <formula>AND(ISNUMBER(H53),H53&gt;PBI_G)</formula>
    </cfRule>
    <cfRule type="expression" priority="295" aboveAverage="0" equalAverage="0" bottom="0" percent="0" rank="0" text="" dxfId="2">
      <formula>AND(ISNUMBER(H53),H53&lt;=PBI_G,H53&gt;=PBI_R)</formula>
    </cfRule>
    <cfRule type="expression" priority="296" aboveAverage="0" equalAverage="0" bottom="0" percent="0" rank="0" text="" dxfId="0">
      <formula>AND(ISNUMBER(H53),H53&lt;PBI_R)</formula>
    </cfRule>
    <cfRule type="expression" priority="297" aboveAverage="0" equalAverage="0" bottom="0" percent="0" rank="0" text="" dxfId="3">
      <formula>H53="N/A"</formula>
    </cfRule>
  </conditionalFormatting>
  <conditionalFormatting sqref="J53">
    <cfRule type="expression" priority="298" aboveAverage="0" equalAverage="0" bottom="0" percent="0" rank="0" text="" dxfId="1">
      <formula>AND(ISNUMBER(J53),J53&gt;PBI_G)</formula>
    </cfRule>
    <cfRule type="expression" priority="299" aboveAverage="0" equalAverage="0" bottom="0" percent="0" rank="0" text="" dxfId="2">
      <formula>AND(ISNUMBER(J53),J53&lt;=PBI_G,J53&gt;=PBI_R)</formula>
    </cfRule>
    <cfRule type="expression" priority="300" aboveAverage="0" equalAverage="0" bottom="0" percent="0" rank="0" text="" dxfId="0">
      <formula>AND(ISNUMBER(J53),J53&lt;PBI_R)</formula>
    </cfRule>
    <cfRule type="expression" priority="301" aboveAverage="0" equalAverage="0" bottom="0" percent="0" rank="0" text="" dxfId="3">
      <formula>J53="N/A"</formula>
    </cfRule>
  </conditionalFormatting>
  <conditionalFormatting sqref="L53">
    <cfRule type="expression" priority="302" aboveAverage="0" equalAverage="0" bottom="0" percent="0" rank="0" text="" dxfId="1">
      <formula>AND(ISNUMBER(L53),L53&gt;PBI_G)</formula>
    </cfRule>
    <cfRule type="expression" priority="303" aboveAverage="0" equalAverage="0" bottom="0" percent="0" rank="0" text="" dxfId="2">
      <formula>AND(ISNUMBER(L53),L53&lt;=PBI_G,L53&gt;=PBI_R)</formula>
    </cfRule>
    <cfRule type="expression" priority="304" aboveAverage="0" equalAverage="0" bottom="0" percent="0" rank="0" text="" dxfId="0">
      <formula>AND(ISNUMBER(L53),L53&lt;PBI_R)</formula>
    </cfRule>
    <cfRule type="expression" priority="305" aboveAverage="0" equalAverage="0" bottom="0" percent="0" rank="0" text="" dxfId="3">
      <formula>L53="N/A"</formula>
    </cfRule>
  </conditionalFormatting>
  <conditionalFormatting sqref="B54">
    <cfRule type="expression" priority="306" aboveAverage="0" equalAverage="0" bottom="0" percent="0" rank="0" text="" dxfId="1">
      <formula>AND(ISNUMBER(B54),B54&gt;PBI_G)</formula>
    </cfRule>
    <cfRule type="expression" priority="307" aboveAverage="0" equalAverage="0" bottom="0" percent="0" rank="0" text="" dxfId="2">
      <formula>AND(ISNUMBER(B54),B54&lt;=PBI_G,B54&gt;=PBI_R)</formula>
    </cfRule>
    <cfRule type="expression" priority="308" aboveAverage="0" equalAverage="0" bottom="0" percent="0" rank="0" text="" dxfId="0">
      <formula>AND(ISNUMBER(B54),B54&lt;PBI_R)</formula>
    </cfRule>
    <cfRule type="expression" priority="309" aboveAverage="0" equalAverage="0" bottom="0" percent="0" rank="0" text="" dxfId="3">
      <formula>B54="N/A"</formula>
    </cfRule>
  </conditionalFormatting>
  <conditionalFormatting sqref="D54">
    <cfRule type="expression" priority="310" aboveAverage="0" equalAverage="0" bottom="0" percent="0" rank="0" text="" dxfId="1">
      <formula>AND(ISNUMBER(D54),D54&gt;PBI_G)</formula>
    </cfRule>
    <cfRule type="expression" priority="311" aboveAverage="0" equalAverage="0" bottom="0" percent="0" rank="0" text="" dxfId="2">
      <formula>AND(ISNUMBER(D54),D54&lt;=PBI_G,D54&gt;=PBI_R)</formula>
    </cfRule>
    <cfRule type="expression" priority="312" aboveAverage="0" equalAverage="0" bottom="0" percent="0" rank="0" text="" dxfId="0">
      <formula>AND(ISNUMBER(D54),D54&lt;PBI_R)</formula>
    </cfRule>
    <cfRule type="expression" priority="313" aboveAverage="0" equalAverage="0" bottom="0" percent="0" rank="0" text="" dxfId="3">
      <formula>D54="N/A"</formula>
    </cfRule>
  </conditionalFormatting>
  <conditionalFormatting sqref="F54">
    <cfRule type="expression" priority="314" aboveAverage="0" equalAverage="0" bottom="0" percent="0" rank="0" text="" dxfId="1">
      <formula>AND(ISNUMBER(F54),F54&gt;PBI_G)</formula>
    </cfRule>
    <cfRule type="expression" priority="315" aboveAverage="0" equalAverage="0" bottom="0" percent="0" rank="0" text="" dxfId="2">
      <formula>AND(ISNUMBER(F54),F54&lt;=PBI_G,F54&gt;=PBI_R)</formula>
    </cfRule>
    <cfRule type="expression" priority="316" aboveAverage="0" equalAverage="0" bottom="0" percent="0" rank="0" text="" dxfId="0">
      <formula>AND(ISNUMBER(F54),F54&lt;PBI_R)</formula>
    </cfRule>
    <cfRule type="expression" priority="317" aboveAverage="0" equalAverage="0" bottom="0" percent="0" rank="0" text="" dxfId="3">
      <formula>F54="N/A"</formula>
    </cfRule>
  </conditionalFormatting>
  <conditionalFormatting sqref="H54">
    <cfRule type="expression" priority="318" aboveAverage="0" equalAverage="0" bottom="0" percent="0" rank="0" text="" dxfId="1">
      <formula>AND(ISNUMBER(H54),H54&gt;PBI_G)</formula>
    </cfRule>
    <cfRule type="expression" priority="319" aboveAverage="0" equalAverage="0" bottom="0" percent="0" rank="0" text="" dxfId="2">
      <formula>AND(ISNUMBER(H54),H54&lt;=PBI_G,H54&gt;=PBI_R)</formula>
    </cfRule>
    <cfRule type="expression" priority="320" aboveAverage="0" equalAverage="0" bottom="0" percent="0" rank="0" text="" dxfId="0">
      <formula>AND(ISNUMBER(H54),H54&lt;PBI_R)</formula>
    </cfRule>
    <cfRule type="expression" priority="321" aboveAverage="0" equalAverage="0" bottom="0" percent="0" rank="0" text="" dxfId="3">
      <formula>H54="N/A"</formula>
    </cfRule>
  </conditionalFormatting>
  <conditionalFormatting sqref="J54">
    <cfRule type="expression" priority="322" aboveAverage="0" equalAverage="0" bottom="0" percent="0" rank="0" text="" dxfId="1">
      <formula>AND(ISNUMBER(J54),J54&gt;PBI_G)</formula>
    </cfRule>
    <cfRule type="expression" priority="323" aboveAverage="0" equalAverage="0" bottom="0" percent="0" rank="0" text="" dxfId="2">
      <formula>AND(ISNUMBER(J54),J54&lt;=PBI_G,J54&gt;=PBI_R)</formula>
    </cfRule>
    <cfRule type="expression" priority="324" aboveAverage="0" equalAverage="0" bottom="0" percent="0" rank="0" text="" dxfId="0">
      <formula>AND(ISNUMBER(J54),J54&lt;PBI_R)</formula>
    </cfRule>
    <cfRule type="expression" priority="325" aboveAverage="0" equalAverage="0" bottom="0" percent="0" rank="0" text="" dxfId="3">
      <formula>J54="N/A"</formula>
    </cfRule>
  </conditionalFormatting>
  <conditionalFormatting sqref="L54">
    <cfRule type="expression" priority="326" aboveAverage="0" equalAverage="0" bottom="0" percent="0" rank="0" text="" dxfId="1">
      <formula>AND(ISNUMBER(L54),L54&gt;PBI_G)</formula>
    </cfRule>
    <cfRule type="expression" priority="327" aboveAverage="0" equalAverage="0" bottom="0" percent="0" rank="0" text="" dxfId="2">
      <formula>AND(ISNUMBER(L54),L54&lt;=PBI_G,L54&gt;=PBI_R)</formula>
    </cfRule>
    <cfRule type="expression" priority="328" aboveAverage="0" equalAverage="0" bottom="0" percent="0" rank="0" text="" dxfId="0">
      <formula>AND(ISNUMBER(L54),L54&lt;PBI_R)</formula>
    </cfRule>
    <cfRule type="expression" priority="329" aboveAverage="0" equalAverage="0" bottom="0" percent="0" rank="0" text="" dxfId="3">
      <formula>L54="N/A"</formula>
    </cfRule>
  </conditionalFormatting>
  <conditionalFormatting sqref="B55">
    <cfRule type="expression" priority="330" aboveAverage="0" equalAverage="0" bottom="0" percent="0" rank="0" text="" dxfId="1">
      <formula>AND(ISNUMBER(B55),B55&gt;PBI_G)</formula>
    </cfRule>
    <cfRule type="expression" priority="331" aboveAverage="0" equalAverage="0" bottom="0" percent="0" rank="0" text="" dxfId="2">
      <formula>AND(ISNUMBER(B55),B55&lt;=PBI_G,B55&gt;=PBI_R)</formula>
    </cfRule>
    <cfRule type="expression" priority="332" aboveAverage="0" equalAverage="0" bottom="0" percent="0" rank="0" text="" dxfId="0">
      <formula>AND(ISNUMBER(B55),B55&lt;PBI_R)</formula>
    </cfRule>
    <cfRule type="expression" priority="333" aboveAverage="0" equalAverage="0" bottom="0" percent="0" rank="0" text="" dxfId="3">
      <formula>B55="N/A"</formula>
    </cfRule>
  </conditionalFormatting>
  <conditionalFormatting sqref="D55">
    <cfRule type="expression" priority="334" aboveAverage="0" equalAverage="0" bottom="0" percent="0" rank="0" text="" dxfId="1">
      <formula>AND(ISNUMBER(D55),D55&gt;PBI_G)</formula>
    </cfRule>
    <cfRule type="expression" priority="335" aboveAverage="0" equalAverage="0" bottom="0" percent="0" rank="0" text="" dxfId="2">
      <formula>AND(ISNUMBER(D55),D55&lt;=PBI_G,D55&gt;=PBI_R)</formula>
    </cfRule>
    <cfRule type="expression" priority="336" aboveAverage="0" equalAverage="0" bottom="0" percent="0" rank="0" text="" dxfId="0">
      <formula>AND(ISNUMBER(D55),D55&lt;PBI_R)</formula>
    </cfRule>
    <cfRule type="expression" priority="337" aboveAverage="0" equalAverage="0" bottom="0" percent="0" rank="0" text="" dxfId="3">
      <formula>D55="N/A"</formula>
    </cfRule>
  </conditionalFormatting>
  <conditionalFormatting sqref="F55">
    <cfRule type="expression" priority="338" aboveAverage="0" equalAverage="0" bottom="0" percent="0" rank="0" text="" dxfId="1">
      <formula>AND(ISNUMBER(F55),F55&gt;PBI_G)</formula>
    </cfRule>
    <cfRule type="expression" priority="339" aboveAverage="0" equalAverage="0" bottom="0" percent="0" rank="0" text="" dxfId="2">
      <formula>AND(ISNUMBER(F55),F55&lt;=PBI_G,F55&gt;=PBI_R)</formula>
    </cfRule>
    <cfRule type="expression" priority="340" aboveAverage="0" equalAverage="0" bottom="0" percent="0" rank="0" text="" dxfId="0">
      <formula>AND(ISNUMBER(F55),F55&lt;PBI_R)</formula>
    </cfRule>
    <cfRule type="expression" priority="341" aboveAverage="0" equalAverage="0" bottom="0" percent="0" rank="0" text="" dxfId="3">
      <formula>F55="N/A"</formula>
    </cfRule>
  </conditionalFormatting>
  <conditionalFormatting sqref="H55">
    <cfRule type="expression" priority="342" aboveAverage="0" equalAverage="0" bottom="0" percent="0" rank="0" text="" dxfId="1">
      <formula>AND(ISNUMBER(H55),H55&gt;PBI_G)</formula>
    </cfRule>
    <cfRule type="expression" priority="343" aboveAverage="0" equalAverage="0" bottom="0" percent="0" rank="0" text="" dxfId="2">
      <formula>AND(ISNUMBER(H55),H55&lt;=PBI_G,H55&gt;=PBI_R)</formula>
    </cfRule>
    <cfRule type="expression" priority="344" aboveAverage="0" equalAverage="0" bottom="0" percent="0" rank="0" text="" dxfId="0">
      <formula>AND(ISNUMBER(H55),H55&lt;PBI_R)</formula>
    </cfRule>
    <cfRule type="expression" priority="345" aboveAverage="0" equalAverage="0" bottom="0" percent="0" rank="0" text="" dxfId="3">
      <formula>H55="N/A"</formula>
    </cfRule>
  </conditionalFormatting>
  <conditionalFormatting sqref="J55">
    <cfRule type="expression" priority="346" aboveAverage="0" equalAverage="0" bottom="0" percent="0" rank="0" text="" dxfId="1">
      <formula>AND(ISNUMBER(J55),J55&gt;PBI_G)</formula>
    </cfRule>
    <cfRule type="expression" priority="347" aboveAverage="0" equalAverage="0" bottom="0" percent="0" rank="0" text="" dxfId="2">
      <formula>AND(ISNUMBER(J55),J55&lt;=PBI_G,J55&gt;=PBI_R)</formula>
    </cfRule>
    <cfRule type="expression" priority="348" aboveAverage="0" equalAverage="0" bottom="0" percent="0" rank="0" text="" dxfId="0">
      <formula>AND(ISNUMBER(J55),J55&lt;PBI_R)</formula>
    </cfRule>
    <cfRule type="expression" priority="349" aboveAverage="0" equalAverage="0" bottom="0" percent="0" rank="0" text="" dxfId="3">
      <formula>J55="N/A"</formula>
    </cfRule>
  </conditionalFormatting>
  <conditionalFormatting sqref="L55">
    <cfRule type="expression" priority="350" aboveAverage="0" equalAverage="0" bottom="0" percent="0" rank="0" text="" dxfId="1">
      <formula>AND(ISNUMBER(L55),L55&gt;PBI_G)</formula>
    </cfRule>
    <cfRule type="expression" priority="351" aboveAverage="0" equalAverage="0" bottom="0" percent="0" rank="0" text="" dxfId="2">
      <formula>AND(ISNUMBER(L55),L55&lt;=PBI_G,L55&gt;=PBI_R)</formula>
    </cfRule>
    <cfRule type="expression" priority="352" aboveAverage="0" equalAverage="0" bottom="0" percent="0" rank="0" text="" dxfId="0">
      <formula>AND(ISNUMBER(L55),L55&lt;PBI_R)</formula>
    </cfRule>
    <cfRule type="expression" priority="353" aboveAverage="0" equalAverage="0" bottom="0" percent="0" rank="0" text="" dxfId="3">
      <formula>L55="N/A"</formula>
    </cfRule>
  </conditionalFormatting>
  <conditionalFormatting sqref="B56">
    <cfRule type="expression" priority="354" aboveAverage="0" equalAverage="0" bottom="0" percent="0" rank="0" text="" dxfId="1">
      <formula>AND(ISNUMBER(B56),B56&gt;PBI_G)</formula>
    </cfRule>
    <cfRule type="expression" priority="355" aboveAverage="0" equalAverage="0" bottom="0" percent="0" rank="0" text="" dxfId="2">
      <formula>AND(ISNUMBER(B56),B56&lt;=PBI_G,B56&gt;=PBI_R)</formula>
    </cfRule>
    <cfRule type="expression" priority="356" aboveAverage="0" equalAverage="0" bottom="0" percent="0" rank="0" text="" dxfId="0">
      <formula>AND(ISNUMBER(B56),B56&lt;PBI_R)</formula>
    </cfRule>
    <cfRule type="expression" priority="357" aboveAverage="0" equalAverage="0" bottom="0" percent="0" rank="0" text="" dxfId="3">
      <formula>B56="N/A"</formula>
    </cfRule>
  </conditionalFormatting>
  <conditionalFormatting sqref="D56">
    <cfRule type="expression" priority="358" aboveAverage="0" equalAverage="0" bottom="0" percent="0" rank="0" text="" dxfId="1">
      <formula>AND(ISNUMBER(D56),D56&gt;PBI_G)</formula>
    </cfRule>
    <cfRule type="expression" priority="359" aboveAverage="0" equalAverage="0" bottom="0" percent="0" rank="0" text="" dxfId="2">
      <formula>AND(ISNUMBER(D56),D56&lt;=PBI_G,D56&gt;=PBI_R)</formula>
    </cfRule>
    <cfRule type="expression" priority="360" aboveAverage="0" equalAverage="0" bottom="0" percent="0" rank="0" text="" dxfId="0">
      <formula>AND(ISNUMBER(D56),D56&lt;PBI_R)</formula>
    </cfRule>
    <cfRule type="expression" priority="361" aboveAverage="0" equalAverage="0" bottom="0" percent="0" rank="0" text="" dxfId="3">
      <formula>D56="N/A"</formula>
    </cfRule>
  </conditionalFormatting>
  <conditionalFormatting sqref="F56">
    <cfRule type="expression" priority="362" aboveAverage="0" equalAverage="0" bottom="0" percent="0" rank="0" text="" dxfId="1">
      <formula>AND(ISNUMBER(F56),F56&gt;PBI_G)</formula>
    </cfRule>
    <cfRule type="expression" priority="363" aboveAverage="0" equalAverage="0" bottom="0" percent="0" rank="0" text="" dxfId="2">
      <formula>AND(ISNUMBER(F56),F56&lt;=PBI_G,F56&gt;=PBI_R)</formula>
    </cfRule>
    <cfRule type="expression" priority="364" aboveAverage="0" equalAverage="0" bottom="0" percent="0" rank="0" text="" dxfId="0">
      <formula>AND(ISNUMBER(F56),F56&lt;PBI_R)</formula>
    </cfRule>
    <cfRule type="expression" priority="365" aboveAverage="0" equalAverage="0" bottom="0" percent="0" rank="0" text="" dxfId="3">
      <formula>F56="N/A"</formula>
    </cfRule>
  </conditionalFormatting>
  <conditionalFormatting sqref="H56">
    <cfRule type="expression" priority="366" aboveAverage="0" equalAverage="0" bottom="0" percent="0" rank="0" text="" dxfId="1">
      <formula>AND(ISNUMBER(H56),H56&gt;PBI_G)</formula>
    </cfRule>
    <cfRule type="expression" priority="367" aboveAverage="0" equalAverage="0" bottom="0" percent="0" rank="0" text="" dxfId="2">
      <formula>AND(ISNUMBER(H56),H56&lt;=PBI_G,H56&gt;=PBI_R)</formula>
    </cfRule>
    <cfRule type="expression" priority="368" aboveAverage="0" equalAverage="0" bottom="0" percent="0" rank="0" text="" dxfId="0">
      <formula>AND(ISNUMBER(H56),H56&lt;PBI_R)</formula>
    </cfRule>
    <cfRule type="expression" priority="369" aboveAverage="0" equalAverage="0" bottom="0" percent="0" rank="0" text="" dxfId="3">
      <formula>H56="N/A"</formula>
    </cfRule>
  </conditionalFormatting>
  <conditionalFormatting sqref="J56">
    <cfRule type="expression" priority="370" aboveAverage="0" equalAverage="0" bottom="0" percent="0" rank="0" text="" dxfId="1">
      <formula>AND(ISNUMBER(J56),J56&gt;PBI_G)</formula>
    </cfRule>
    <cfRule type="expression" priority="371" aboveAverage="0" equalAverage="0" bottom="0" percent="0" rank="0" text="" dxfId="2">
      <formula>AND(ISNUMBER(J56),J56&lt;=PBI_G,J56&gt;=PBI_R)</formula>
    </cfRule>
    <cfRule type="expression" priority="372" aboveAverage="0" equalAverage="0" bottom="0" percent="0" rank="0" text="" dxfId="0">
      <formula>AND(ISNUMBER(J56),J56&lt;PBI_R)</formula>
    </cfRule>
    <cfRule type="expression" priority="373" aboveAverage="0" equalAverage="0" bottom="0" percent="0" rank="0" text="" dxfId="3">
      <formula>J56="N/A"</formula>
    </cfRule>
  </conditionalFormatting>
  <conditionalFormatting sqref="L56">
    <cfRule type="expression" priority="374" aboveAverage="0" equalAverage="0" bottom="0" percent="0" rank="0" text="" dxfId="1">
      <formula>AND(ISNUMBER(L56),L56&gt;PBI_G)</formula>
    </cfRule>
    <cfRule type="expression" priority="375" aboveAverage="0" equalAverage="0" bottom="0" percent="0" rank="0" text="" dxfId="2">
      <formula>AND(ISNUMBER(L56),L56&lt;=PBI_G,L56&gt;=PBI_R)</formula>
    </cfRule>
    <cfRule type="expression" priority="376" aboveAverage="0" equalAverage="0" bottom="0" percent="0" rank="0" text="" dxfId="0">
      <formula>AND(ISNUMBER(L56),L56&lt;PBI_R)</formula>
    </cfRule>
    <cfRule type="expression" priority="377" aboveAverage="0" equalAverage="0" bottom="0" percent="0" rank="0" text="" dxfId="3">
      <formula>L56="N/A"</formula>
    </cfRule>
  </conditionalFormatting>
  <conditionalFormatting sqref="B57">
    <cfRule type="expression" priority="378" aboveAverage="0" equalAverage="0" bottom="0" percent="0" rank="0" text="" dxfId="1">
      <formula>AND(ISNUMBER(B57),B57&gt;PBI_G)</formula>
    </cfRule>
    <cfRule type="expression" priority="379" aboveAverage="0" equalAverage="0" bottom="0" percent="0" rank="0" text="" dxfId="2">
      <formula>AND(ISNUMBER(B57),B57&lt;=PBI_G,B57&gt;=PBI_R)</formula>
    </cfRule>
    <cfRule type="expression" priority="380" aboveAverage="0" equalAverage="0" bottom="0" percent="0" rank="0" text="" dxfId="0">
      <formula>AND(ISNUMBER(B57),B57&lt;PBI_R)</formula>
    </cfRule>
    <cfRule type="expression" priority="381" aboveAverage="0" equalAverage="0" bottom="0" percent="0" rank="0" text="" dxfId="3">
      <formula>B57="N/A"</formula>
    </cfRule>
  </conditionalFormatting>
  <conditionalFormatting sqref="D57">
    <cfRule type="expression" priority="382" aboveAverage="0" equalAverage="0" bottom="0" percent="0" rank="0" text="" dxfId="1">
      <formula>AND(ISNUMBER(D57),D57&gt;PBI_G)</formula>
    </cfRule>
    <cfRule type="expression" priority="383" aboveAverage="0" equalAverage="0" bottom="0" percent="0" rank="0" text="" dxfId="2">
      <formula>AND(ISNUMBER(D57),D57&lt;=PBI_G,D57&gt;=PBI_R)</formula>
    </cfRule>
    <cfRule type="expression" priority="384" aboveAverage="0" equalAverage="0" bottom="0" percent="0" rank="0" text="" dxfId="0">
      <formula>AND(ISNUMBER(D57),D57&lt;PBI_R)</formula>
    </cfRule>
    <cfRule type="expression" priority="385" aboveAverage="0" equalAverage="0" bottom="0" percent="0" rank="0" text="" dxfId="3">
      <formula>D57="N/A"</formula>
    </cfRule>
  </conditionalFormatting>
  <conditionalFormatting sqref="F57">
    <cfRule type="expression" priority="386" aboveAverage="0" equalAverage="0" bottom="0" percent="0" rank="0" text="" dxfId="1">
      <formula>AND(ISNUMBER(F57),F57&gt;PBI_G)</formula>
    </cfRule>
    <cfRule type="expression" priority="387" aboveAverage="0" equalAverage="0" bottom="0" percent="0" rank="0" text="" dxfId="2">
      <formula>AND(ISNUMBER(F57),F57&lt;=PBI_G,F57&gt;=PBI_R)</formula>
    </cfRule>
    <cfRule type="expression" priority="388" aboveAverage="0" equalAverage="0" bottom="0" percent="0" rank="0" text="" dxfId="0">
      <formula>AND(ISNUMBER(F57),F57&lt;PBI_R)</formula>
    </cfRule>
    <cfRule type="expression" priority="389" aboveAverage="0" equalAverage="0" bottom="0" percent="0" rank="0" text="" dxfId="3">
      <formula>F57="N/A"</formula>
    </cfRule>
  </conditionalFormatting>
  <conditionalFormatting sqref="H57">
    <cfRule type="expression" priority="390" aboveAverage="0" equalAverage="0" bottom="0" percent="0" rank="0" text="" dxfId="1">
      <formula>AND(ISNUMBER(H57),H57&gt;PBI_G)</formula>
    </cfRule>
    <cfRule type="expression" priority="391" aboveAverage="0" equalAverage="0" bottom="0" percent="0" rank="0" text="" dxfId="2">
      <formula>AND(ISNUMBER(H57),H57&lt;=PBI_G,H57&gt;=PBI_R)</formula>
    </cfRule>
    <cfRule type="expression" priority="392" aboveAverage="0" equalAverage="0" bottom="0" percent="0" rank="0" text="" dxfId="0">
      <formula>AND(ISNUMBER(H57),H57&lt;PBI_R)</formula>
    </cfRule>
    <cfRule type="expression" priority="393" aboveAverage="0" equalAverage="0" bottom="0" percent="0" rank="0" text="" dxfId="3">
      <formula>H57="N/A"</formula>
    </cfRule>
  </conditionalFormatting>
  <conditionalFormatting sqref="J57">
    <cfRule type="expression" priority="394" aboveAverage="0" equalAverage="0" bottom="0" percent="0" rank="0" text="" dxfId="1">
      <formula>AND(ISNUMBER(J57),J57&gt;PBI_G)</formula>
    </cfRule>
    <cfRule type="expression" priority="395" aboveAverage="0" equalAverage="0" bottom="0" percent="0" rank="0" text="" dxfId="2">
      <formula>AND(ISNUMBER(J57),J57&lt;=PBI_G,J57&gt;=PBI_R)</formula>
    </cfRule>
    <cfRule type="expression" priority="396" aboveAverage="0" equalAverage="0" bottom="0" percent="0" rank="0" text="" dxfId="0">
      <formula>AND(ISNUMBER(J57),J57&lt;PBI_R)</formula>
    </cfRule>
    <cfRule type="expression" priority="397" aboveAverage="0" equalAverage="0" bottom="0" percent="0" rank="0" text="" dxfId="3">
      <formula>J57="N/A"</formula>
    </cfRule>
  </conditionalFormatting>
  <conditionalFormatting sqref="L57">
    <cfRule type="expression" priority="398" aboveAverage="0" equalAverage="0" bottom="0" percent="0" rank="0" text="" dxfId="1">
      <formula>AND(ISNUMBER(L57),L57&gt;PBI_G)</formula>
    </cfRule>
    <cfRule type="expression" priority="399" aboveAverage="0" equalAverage="0" bottom="0" percent="0" rank="0" text="" dxfId="2">
      <formula>AND(ISNUMBER(L57),L57&lt;=PBI_G,L57&gt;=PBI_R)</formula>
    </cfRule>
    <cfRule type="expression" priority="400" aboveAverage="0" equalAverage="0" bottom="0" percent="0" rank="0" text="" dxfId="0">
      <formula>AND(ISNUMBER(L57),L57&lt;PBI_R)</formula>
    </cfRule>
    <cfRule type="expression" priority="401" aboveAverage="0" equalAverage="0" bottom="0" percent="0" rank="0" text="" dxfId="3">
      <formula>L57="N/A"</formula>
    </cfRule>
  </conditionalFormatting>
  <conditionalFormatting sqref="B60">
    <cfRule type="expression" priority="402" aboveAverage="0" equalAverage="0" bottom="0" percent="0" rank="0" text="" dxfId="1">
      <formula>AND(ISNUMBER(B60),B60&lt;=NCR_G)</formula>
    </cfRule>
    <cfRule type="expression" priority="403" aboveAverage="0" equalAverage="0" bottom="0" percent="0" rank="0" text="" dxfId="2">
      <formula>AND(ISNUMBER(B60),B60&gt;NCR_G,B60&lt;NCR_R)</formula>
    </cfRule>
    <cfRule type="expression" priority="404" aboveAverage="0" equalAverage="0" bottom="0" percent="0" rank="0" text="" dxfId="0">
      <formula>AND(ISNUMBER(B60),B60&gt;=NCR_R)</formula>
    </cfRule>
    <cfRule type="expression" priority="405" aboveAverage="0" equalAverage="0" bottom="0" percent="0" rank="0" text="" dxfId="3">
      <formula>B60="N/A"</formula>
    </cfRule>
  </conditionalFormatting>
  <conditionalFormatting sqref="D60">
    <cfRule type="expression" priority="406" aboveAverage="0" equalAverage="0" bottom="0" percent="0" rank="0" text="" dxfId="1">
      <formula>AND(ISNUMBER(D60),D60&gt;EQ_G)</formula>
    </cfRule>
    <cfRule type="expression" priority="407" aboveAverage="0" equalAverage="0" bottom="0" percent="0" rank="0" text="" dxfId="2">
      <formula>AND(ISNUMBER(D60),D60&lt;=EQ_G,D60&gt;=EQ_R)</formula>
    </cfRule>
    <cfRule type="expression" priority="408" aboveAverage="0" equalAverage="0" bottom="0" percent="0" rank="0" text="" dxfId="0">
      <formula>AND(ISNUMBER(D60),D60&lt;EQ_R)</formula>
    </cfRule>
    <cfRule type="expression" priority="409" aboveAverage="0" equalAverage="0" bottom="0" percent="0" rank="0" text="" dxfId="3">
      <formula>D60="N/A"</formula>
    </cfRule>
  </conditionalFormatting>
  <conditionalFormatting sqref="F60">
    <cfRule type="expression" priority="410" aboveAverage="0" equalAverage="0" bottom="0" percent="0" rank="0" text="" dxfId="1">
      <formula>AND(ISNUMBER(F60),F60&gt;INSP_G)</formula>
    </cfRule>
    <cfRule type="expression" priority="411" aboveAverage="0" equalAverage="0" bottom="0" percent="0" rank="0" text="" dxfId="2">
      <formula>AND(ISNUMBER(F60),F60&lt;=INSP_G,F60&gt;=INSP_R)</formula>
    </cfRule>
    <cfRule type="expression" priority="412" aboveAverage="0" equalAverage="0" bottom="0" percent="0" rank="0" text="" dxfId="0">
      <formula>AND(ISNUMBER(F60),F60&lt;INSP_R)</formula>
    </cfRule>
    <cfRule type="expression" priority="413" aboveAverage="0" equalAverage="0" bottom="0" percent="0" rank="0" text="" dxfId="3">
      <formula>F60="N/A"</formula>
    </cfRule>
  </conditionalFormatting>
  <conditionalFormatting sqref="H60">
    <cfRule type="expression" priority="414" aboveAverage="0" equalAverage="0" bottom="0" percent="0" rank="0" text="" dxfId="1">
      <formula>AND(ISNUMBER(H60),H60&gt;LTR_G)</formula>
    </cfRule>
    <cfRule type="expression" priority="415" aboveAverage="0" equalAverage="0" bottom="0" percent="0" rank="0" text="" dxfId="2">
      <formula>AND(ISNUMBER(H60),H60&lt;=LTR_G,H60&gt;=LTR_R)</formula>
    </cfRule>
    <cfRule type="expression" priority="416" aboveAverage="0" equalAverage="0" bottom="0" percent="0" rank="0" text="" dxfId="0">
      <formula>AND(ISNUMBER(H60),H60&lt;LTR_R)</formula>
    </cfRule>
    <cfRule type="expression" priority="417" aboveAverage="0" equalAverage="0" bottom="0" percent="0" rank="0" text="" dxfId="3">
      <formula>H60="N/A"</formula>
    </cfRule>
  </conditionalFormatting>
  <conditionalFormatting sqref="B61">
    <cfRule type="expression" priority="418" aboveAverage="0" equalAverage="0" bottom="0" percent="0" rank="0" text="" dxfId="1">
      <formula>AND(ISNUMBER(B61),B61&lt;=NCR_G)</formula>
    </cfRule>
    <cfRule type="expression" priority="419" aboveAverage="0" equalAverage="0" bottom="0" percent="0" rank="0" text="" dxfId="2">
      <formula>AND(ISNUMBER(B61),B61&gt;NCR_G,B61&lt;NCR_R)</formula>
    </cfRule>
    <cfRule type="expression" priority="420" aboveAverage="0" equalAverage="0" bottom="0" percent="0" rank="0" text="" dxfId="0">
      <formula>AND(ISNUMBER(B61),B61&gt;=NCR_R)</formula>
    </cfRule>
    <cfRule type="expression" priority="421" aboveAverage="0" equalAverage="0" bottom="0" percent="0" rank="0" text="" dxfId="3">
      <formula>B61="N/A"</formula>
    </cfRule>
  </conditionalFormatting>
  <conditionalFormatting sqref="D61">
    <cfRule type="expression" priority="422" aboveAverage="0" equalAverage="0" bottom="0" percent="0" rank="0" text="" dxfId="1">
      <formula>AND(ISNUMBER(D61),D61&gt;EQ_G)</formula>
    </cfRule>
    <cfRule type="expression" priority="423" aboveAverage="0" equalAverage="0" bottom="0" percent="0" rank="0" text="" dxfId="2">
      <formula>AND(ISNUMBER(D61),D61&lt;=EQ_G,D61&gt;=EQ_R)</formula>
    </cfRule>
    <cfRule type="expression" priority="424" aboveAverage="0" equalAverage="0" bottom="0" percent="0" rank="0" text="" dxfId="0">
      <formula>AND(ISNUMBER(D61),D61&lt;EQ_R)</formula>
    </cfRule>
    <cfRule type="expression" priority="425" aboveAverage="0" equalAverage="0" bottom="0" percent="0" rank="0" text="" dxfId="3">
      <formula>D61="N/A"</formula>
    </cfRule>
  </conditionalFormatting>
  <conditionalFormatting sqref="F61">
    <cfRule type="expression" priority="426" aboveAverage="0" equalAverage="0" bottom="0" percent="0" rank="0" text="" dxfId="1">
      <formula>AND(ISNUMBER(F61),F61&gt;INSP_G)</formula>
    </cfRule>
    <cfRule type="expression" priority="427" aboveAverage="0" equalAverage="0" bottom="0" percent="0" rank="0" text="" dxfId="2">
      <formula>AND(ISNUMBER(F61),F61&lt;=INSP_G,F61&gt;=INSP_R)</formula>
    </cfRule>
    <cfRule type="expression" priority="428" aboveAverage="0" equalAverage="0" bottom="0" percent="0" rank="0" text="" dxfId="0">
      <formula>AND(ISNUMBER(F61),F61&lt;INSP_R)</formula>
    </cfRule>
    <cfRule type="expression" priority="429" aboveAverage="0" equalAverage="0" bottom="0" percent="0" rank="0" text="" dxfId="3">
      <formula>F61="N/A"</formula>
    </cfRule>
  </conditionalFormatting>
  <conditionalFormatting sqref="H61">
    <cfRule type="expression" priority="430" aboveAverage="0" equalAverage="0" bottom="0" percent="0" rank="0" text="" dxfId="1">
      <formula>AND(ISNUMBER(H61),H61&gt;LTR_G)</formula>
    </cfRule>
    <cfRule type="expression" priority="431" aboveAverage="0" equalAverage="0" bottom="0" percent="0" rank="0" text="" dxfId="2">
      <formula>AND(ISNUMBER(H61),H61&lt;=LTR_G,H61&gt;=LTR_R)</formula>
    </cfRule>
    <cfRule type="expression" priority="432" aboveAverage="0" equalAverage="0" bottom="0" percent="0" rank="0" text="" dxfId="0">
      <formula>AND(ISNUMBER(H61),H61&lt;LTR_R)</formula>
    </cfRule>
    <cfRule type="expression" priority="433" aboveAverage="0" equalAverage="0" bottom="0" percent="0" rank="0" text="" dxfId="3">
      <formula>H61="N/A"</formula>
    </cfRule>
  </conditionalFormatting>
  <conditionalFormatting sqref="B62">
    <cfRule type="expression" priority="434" aboveAverage="0" equalAverage="0" bottom="0" percent="0" rank="0" text="" dxfId="1">
      <formula>AND(ISNUMBER(B62),B62&lt;=NCR_G)</formula>
    </cfRule>
    <cfRule type="expression" priority="435" aboveAverage="0" equalAverage="0" bottom="0" percent="0" rank="0" text="" dxfId="2">
      <formula>AND(ISNUMBER(B62),B62&gt;NCR_G,B62&lt;NCR_R)</formula>
    </cfRule>
    <cfRule type="expression" priority="436" aboveAverage="0" equalAverage="0" bottom="0" percent="0" rank="0" text="" dxfId="0">
      <formula>AND(ISNUMBER(B62),B62&gt;=NCR_R)</formula>
    </cfRule>
    <cfRule type="expression" priority="437" aboveAverage="0" equalAverage="0" bottom="0" percent="0" rank="0" text="" dxfId="3">
      <formula>B62="N/A"</formula>
    </cfRule>
  </conditionalFormatting>
  <conditionalFormatting sqref="D62">
    <cfRule type="expression" priority="438" aboveAverage="0" equalAverage="0" bottom="0" percent="0" rank="0" text="" dxfId="1">
      <formula>AND(ISNUMBER(D62),D62&gt;EQ_G)</formula>
    </cfRule>
    <cfRule type="expression" priority="439" aboveAverage="0" equalAverage="0" bottom="0" percent="0" rank="0" text="" dxfId="2">
      <formula>AND(ISNUMBER(D62),D62&lt;=EQ_G,D62&gt;=EQ_R)</formula>
    </cfRule>
    <cfRule type="expression" priority="440" aboveAverage="0" equalAverage="0" bottom="0" percent="0" rank="0" text="" dxfId="0">
      <formula>AND(ISNUMBER(D62),D62&lt;EQ_R)</formula>
    </cfRule>
    <cfRule type="expression" priority="441" aboveAverage="0" equalAverage="0" bottom="0" percent="0" rank="0" text="" dxfId="3">
      <formula>D62="N/A"</formula>
    </cfRule>
  </conditionalFormatting>
  <conditionalFormatting sqref="F62">
    <cfRule type="expression" priority="442" aboveAverage="0" equalAverage="0" bottom="0" percent="0" rank="0" text="" dxfId="1">
      <formula>AND(ISNUMBER(F62),F62&gt;INSP_G)</formula>
    </cfRule>
    <cfRule type="expression" priority="443" aboveAverage="0" equalAverage="0" bottom="0" percent="0" rank="0" text="" dxfId="2">
      <formula>AND(ISNUMBER(F62),F62&lt;=INSP_G,F62&gt;=INSP_R)</formula>
    </cfRule>
    <cfRule type="expression" priority="444" aboveAverage="0" equalAverage="0" bottom="0" percent="0" rank="0" text="" dxfId="0">
      <formula>AND(ISNUMBER(F62),F62&lt;INSP_R)</formula>
    </cfRule>
    <cfRule type="expression" priority="445" aboveAverage="0" equalAverage="0" bottom="0" percent="0" rank="0" text="" dxfId="3">
      <formula>F62="N/A"</formula>
    </cfRule>
  </conditionalFormatting>
  <conditionalFormatting sqref="H62">
    <cfRule type="expression" priority="446" aboveAverage="0" equalAverage="0" bottom="0" percent="0" rank="0" text="" dxfId="1">
      <formula>AND(ISNUMBER(H62),H62&gt;LTR_G)</formula>
    </cfRule>
    <cfRule type="expression" priority="447" aboveAverage="0" equalAverage="0" bottom="0" percent="0" rank="0" text="" dxfId="2">
      <formula>AND(ISNUMBER(H62),H62&lt;=LTR_G,H62&gt;=LTR_R)</formula>
    </cfRule>
    <cfRule type="expression" priority="448" aboveAverage="0" equalAverage="0" bottom="0" percent="0" rank="0" text="" dxfId="0">
      <formula>AND(ISNUMBER(H62),H62&lt;LTR_R)</formula>
    </cfRule>
    <cfRule type="expression" priority="449" aboveAverage="0" equalAverage="0" bottom="0" percent="0" rank="0" text="" dxfId="3">
      <formula>H62="N/A"</formula>
    </cfRule>
  </conditionalFormatting>
  <conditionalFormatting sqref="B63">
    <cfRule type="expression" priority="450" aboveAverage="0" equalAverage="0" bottom="0" percent="0" rank="0" text="" dxfId="1">
      <formula>AND(ISNUMBER(B63),B63&lt;=NCR_G)</formula>
    </cfRule>
    <cfRule type="expression" priority="451" aboveAverage="0" equalAverage="0" bottom="0" percent="0" rank="0" text="" dxfId="2">
      <formula>AND(ISNUMBER(B63),B63&gt;NCR_G,B63&lt;NCR_R)</formula>
    </cfRule>
    <cfRule type="expression" priority="452" aboveAverage="0" equalAverage="0" bottom="0" percent="0" rank="0" text="" dxfId="0">
      <formula>AND(ISNUMBER(B63),B63&gt;=NCR_R)</formula>
    </cfRule>
    <cfRule type="expression" priority="453" aboveAverage="0" equalAverage="0" bottom="0" percent="0" rank="0" text="" dxfId="3">
      <formula>B63="N/A"</formula>
    </cfRule>
  </conditionalFormatting>
  <conditionalFormatting sqref="D63">
    <cfRule type="expression" priority="454" aboveAverage="0" equalAverage="0" bottom="0" percent="0" rank="0" text="" dxfId="1">
      <formula>AND(ISNUMBER(D63),D63&gt;EQ_G)</formula>
    </cfRule>
    <cfRule type="expression" priority="455" aboveAverage="0" equalAverage="0" bottom="0" percent="0" rank="0" text="" dxfId="2">
      <formula>AND(ISNUMBER(D63),D63&lt;=EQ_G,D63&gt;=EQ_R)</formula>
    </cfRule>
    <cfRule type="expression" priority="456" aboveAverage="0" equalAverage="0" bottom="0" percent="0" rank="0" text="" dxfId="0">
      <formula>AND(ISNUMBER(D63),D63&lt;EQ_R)</formula>
    </cfRule>
    <cfRule type="expression" priority="457" aboveAverage="0" equalAverage="0" bottom="0" percent="0" rank="0" text="" dxfId="3">
      <formula>D63="N/A"</formula>
    </cfRule>
  </conditionalFormatting>
  <conditionalFormatting sqref="F63">
    <cfRule type="expression" priority="458" aboveAverage="0" equalAverage="0" bottom="0" percent="0" rank="0" text="" dxfId="1">
      <formula>AND(ISNUMBER(F63),F63&gt;INSP_G)</formula>
    </cfRule>
    <cfRule type="expression" priority="459" aboveAverage="0" equalAverage="0" bottom="0" percent="0" rank="0" text="" dxfId="2">
      <formula>AND(ISNUMBER(F63),F63&lt;=INSP_G,F63&gt;=INSP_R)</formula>
    </cfRule>
    <cfRule type="expression" priority="460" aboveAverage="0" equalAverage="0" bottom="0" percent="0" rank="0" text="" dxfId="0">
      <formula>AND(ISNUMBER(F63),F63&lt;INSP_R)</formula>
    </cfRule>
    <cfRule type="expression" priority="461" aboveAverage="0" equalAverage="0" bottom="0" percent="0" rank="0" text="" dxfId="3">
      <formula>F63="N/A"</formula>
    </cfRule>
  </conditionalFormatting>
  <conditionalFormatting sqref="H63">
    <cfRule type="expression" priority="462" aboveAverage="0" equalAverage="0" bottom="0" percent="0" rank="0" text="" dxfId="1">
      <formula>AND(ISNUMBER(H63),H63&gt;LTR_G)</formula>
    </cfRule>
    <cfRule type="expression" priority="463" aboveAverage="0" equalAverage="0" bottom="0" percent="0" rank="0" text="" dxfId="2">
      <formula>AND(ISNUMBER(H63),H63&lt;=LTR_G,H63&gt;=LTR_R)</formula>
    </cfRule>
    <cfRule type="expression" priority="464" aboveAverage="0" equalAverage="0" bottom="0" percent="0" rank="0" text="" dxfId="0">
      <formula>AND(ISNUMBER(H63),H63&lt;LTR_R)</formula>
    </cfRule>
    <cfRule type="expression" priority="465" aboveAverage="0" equalAverage="0" bottom="0" percent="0" rank="0" text="" dxfId="3">
      <formula>H63="N/A"</formula>
    </cfRule>
  </conditionalFormatting>
  <conditionalFormatting sqref="B64">
    <cfRule type="expression" priority="466" aboveAverage="0" equalAverage="0" bottom="0" percent="0" rank="0" text="" dxfId="1">
      <formula>AND(ISNUMBER(B64),B64&lt;=NCR_G)</formula>
    </cfRule>
    <cfRule type="expression" priority="467" aboveAverage="0" equalAverage="0" bottom="0" percent="0" rank="0" text="" dxfId="2">
      <formula>AND(ISNUMBER(B64),B64&gt;NCR_G,B64&lt;NCR_R)</formula>
    </cfRule>
    <cfRule type="expression" priority="468" aboveAverage="0" equalAverage="0" bottom="0" percent="0" rank="0" text="" dxfId="0">
      <formula>AND(ISNUMBER(B64),B64&gt;=NCR_R)</formula>
    </cfRule>
    <cfRule type="expression" priority="469" aboveAverage="0" equalAverage="0" bottom="0" percent="0" rank="0" text="" dxfId="3">
      <formula>B64="N/A"</formula>
    </cfRule>
  </conditionalFormatting>
  <conditionalFormatting sqref="D64">
    <cfRule type="expression" priority="470" aboveAverage="0" equalAverage="0" bottom="0" percent="0" rank="0" text="" dxfId="1">
      <formula>AND(ISNUMBER(D64),D64&gt;EQ_G)</formula>
    </cfRule>
    <cfRule type="expression" priority="471" aboveAverage="0" equalAverage="0" bottom="0" percent="0" rank="0" text="" dxfId="2">
      <formula>AND(ISNUMBER(D64),D64&lt;=EQ_G,D64&gt;=EQ_R)</formula>
    </cfRule>
    <cfRule type="expression" priority="472" aboveAverage="0" equalAverage="0" bottom="0" percent="0" rank="0" text="" dxfId="0">
      <formula>AND(ISNUMBER(D64),D64&lt;EQ_R)</formula>
    </cfRule>
    <cfRule type="expression" priority="473" aboveAverage="0" equalAverage="0" bottom="0" percent="0" rank="0" text="" dxfId="3">
      <formula>D64="N/A"</formula>
    </cfRule>
  </conditionalFormatting>
  <conditionalFormatting sqref="F64">
    <cfRule type="expression" priority="474" aboveAverage="0" equalAverage="0" bottom="0" percent="0" rank="0" text="" dxfId="1">
      <formula>AND(ISNUMBER(F64),F64&gt;INSP_G)</formula>
    </cfRule>
    <cfRule type="expression" priority="475" aboveAverage="0" equalAverage="0" bottom="0" percent="0" rank="0" text="" dxfId="2">
      <formula>AND(ISNUMBER(F64),F64&lt;=INSP_G,F64&gt;=INSP_R)</formula>
    </cfRule>
    <cfRule type="expression" priority="476" aboveAverage="0" equalAverage="0" bottom="0" percent="0" rank="0" text="" dxfId="0">
      <formula>AND(ISNUMBER(F64),F64&lt;INSP_R)</formula>
    </cfRule>
    <cfRule type="expression" priority="477" aboveAverage="0" equalAverage="0" bottom="0" percent="0" rank="0" text="" dxfId="3">
      <formula>F64="N/A"</formula>
    </cfRule>
  </conditionalFormatting>
  <conditionalFormatting sqref="H64">
    <cfRule type="expression" priority="478" aboveAverage="0" equalAverage="0" bottom="0" percent="0" rank="0" text="" dxfId="1">
      <formula>AND(ISNUMBER(H64),H64&gt;LTR_G)</formula>
    </cfRule>
    <cfRule type="expression" priority="479" aboveAverage="0" equalAverage="0" bottom="0" percent="0" rank="0" text="" dxfId="2">
      <formula>AND(ISNUMBER(H64),H64&lt;=LTR_G,H64&gt;=LTR_R)</formula>
    </cfRule>
    <cfRule type="expression" priority="480" aboveAverage="0" equalAverage="0" bottom="0" percent="0" rank="0" text="" dxfId="0">
      <formula>AND(ISNUMBER(H64),H64&lt;LTR_R)</formula>
    </cfRule>
    <cfRule type="expression" priority="481" aboveAverage="0" equalAverage="0" bottom="0" percent="0" rank="0" text="" dxfId="3">
      <formula>H64="N/A"</formula>
    </cfRule>
  </conditionalFormatting>
  <conditionalFormatting sqref="B65">
    <cfRule type="expression" priority="482" aboveAverage="0" equalAverage="0" bottom="0" percent="0" rank="0" text="" dxfId="1">
      <formula>AND(ISNUMBER(B65),B65&lt;=NCR_G)</formula>
    </cfRule>
    <cfRule type="expression" priority="483" aboveAverage="0" equalAverage="0" bottom="0" percent="0" rank="0" text="" dxfId="2">
      <formula>AND(ISNUMBER(B65),B65&gt;NCR_G,B65&lt;NCR_R)</formula>
    </cfRule>
    <cfRule type="expression" priority="484" aboveAverage="0" equalAverage="0" bottom="0" percent="0" rank="0" text="" dxfId="0">
      <formula>AND(ISNUMBER(B65),B65&gt;=NCR_R)</formula>
    </cfRule>
    <cfRule type="expression" priority="485" aboveAverage="0" equalAverage="0" bottom="0" percent="0" rank="0" text="" dxfId="3">
      <formula>B65="N/A"</formula>
    </cfRule>
  </conditionalFormatting>
  <conditionalFormatting sqref="D65">
    <cfRule type="expression" priority="486" aboveAverage="0" equalAverage="0" bottom="0" percent="0" rank="0" text="" dxfId="1">
      <formula>AND(ISNUMBER(D65),D65&gt;EQ_G)</formula>
    </cfRule>
    <cfRule type="expression" priority="487" aboveAverage="0" equalAverage="0" bottom="0" percent="0" rank="0" text="" dxfId="2">
      <formula>AND(ISNUMBER(D65),D65&lt;=EQ_G,D65&gt;=EQ_R)</formula>
    </cfRule>
    <cfRule type="expression" priority="488" aboveAverage="0" equalAverage="0" bottom="0" percent="0" rank="0" text="" dxfId="0">
      <formula>AND(ISNUMBER(D65),D65&lt;EQ_R)</formula>
    </cfRule>
    <cfRule type="expression" priority="489" aboveAverage="0" equalAverage="0" bottom="0" percent="0" rank="0" text="" dxfId="3">
      <formula>D65="N/A"</formula>
    </cfRule>
  </conditionalFormatting>
  <conditionalFormatting sqref="F65">
    <cfRule type="expression" priority="490" aboveAverage="0" equalAverage="0" bottom="0" percent="0" rank="0" text="" dxfId="1">
      <formula>AND(ISNUMBER(F65),F65&gt;INSP_G)</formula>
    </cfRule>
    <cfRule type="expression" priority="491" aboveAverage="0" equalAverage="0" bottom="0" percent="0" rank="0" text="" dxfId="2">
      <formula>AND(ISNUMBER(F65),F65&lt;=INSP_G,F65&gt;=INSP_R)</formula>
    </cfRule>
    <cfRule type="expression" priority="492" aboveAverage="0" equalAverage="0" bottom="0" percent="0" rank="0" text="" dxfId="0">
      <formula>AND(ISNUMBER(F65),F65&lt;INSP_R)</formula>
    </cfRule>
    <cfRule type="expression" priority="493" aboveAverage="0" equalAverage="0" bottom="0" percent="0" rank="0" text="" dxfId="3">
      <formula>F65="N/A"</formula>
    </cfRule>
  </conditionalFormatting>
  <conditionalFormatting sqref="H65">
    <cfRule type="expression" priority="494" aboveAverage="0" equalAverage="0" bottom="0" percent="0" rank="0" text="" dxfId="1">
      <formula>AND(ISNUMBER(H65),H65&gt;LTR_G)</formula>
    </cfRule>
    <cfRule type="expression" priority="495" aboveAverage="0" equalAverage="0" bottom="0" percent="0" rank="0" text="" dxfId="2">
      <formula>AND(ISNUMBER(H65),H65&lt;=LTR_G,H65&gt;=LTR_R)</formula>
    </cfRule>
    <cfRule type="expression" priority="496" aboveAverage="0" equalAverage="0" bottom="0" percent="0" rank="0" text="" dxfId="0">
      <formula>AND(ISNUMBER(H65),H65&lt;LTR_R)</formula>
    </cfRule>
    <cfRule type="expression" priority="497" aboveAverage="0" equalAverage="0" bottom="0" percent="0" rank="0" text="" dxfId="3">
      <formula>H65="N/A"</formula>
    </cfRule>
  </conditionalFormatting>
  <conditionalFormatting sqref="B66">
    <cfRule type="expression" priority="498" aboveAverage="0" equalAverage="0" bottom="0" percent="0" rank="0" text="" dxfId="1">
      <formula>AND(ISNUMBER(B66),B66&lt;=NCR_G)</formula>
    </cfRule>
    <cfRule type="expression" priority="499" aboveAverage="0" equalAverage="0" bottom="0" percent="0" rank="0" text="" dxfId="2">
      <formula>AND(ISNUMBER(B66),B66&gt;NCR_G,B66&lt;NCR_R)</formula>
    </cfRule>
    <cfRule type="expression" priority="500" aboveAverage="0" equalAverage="0" bottom="0" percent="0" rank="0" text="" dxfId="0">
      <formula>AND(ISNUMBER(B66),B66&gt;=NCR_R)</formula>
    </cfRule>
    <cfRule type="expression" priority="501" aboveAverage="0" equalAverage="0" bottom="0" percent="0" rank="0" text="" dxfId="3">
      <formula>B66="N/A"</formula>
    </cfRule>
  </conditionalFormatting>
  <conditionalFormatting sqref="D66">
    <cfRule type="expression" priority="502" aboveAverage="0" equalAverage="0" bottom="0" percent="0" rank="0" text="" dxfId="1">
      <formula>AND(ISNUMBER(D66),D66&gt;EQ_G)</formula>
    </cfRule>
    <cfRule type="expression" priority="503" aboveAverage="0" equalAverage="0" bottom="0" percent="0" rank="0" text="" dxfId="2">
      <formula>AND(ISNUMBER(D66),D66&lt;=EQ_G,D66&gt;=EQ_R)</formula>
    </cfRule>
    <cfRule type="expression" priority="504" aboveAverage="0" equalAverage="0" bottom="0" percent="0" rank="0" text="" dxfId="0">
      <formula>AND(ISNUMBER(D66),D66&lt;EQ_R)</formula>
    </cfRule>
    <cfRule type="expression" priority="505" aboveAverage="0" equalAverage="0" bottom="0" percent="0" rank="0" text="" dxfId="3">
      <formula>D66="N/A"</formula>
    </cfRule>
  </conditionalFormatting>
  <conditionalFormatting sqref="F66">
    <cfRule type="expression" priority="506" aboveAverage="0" equalAverage="0" bottom="0" percent="0" rank="0" text="" dxfId="1">
      <formula>AND(ISNUMBER(F66),F66&gt;INSP_G)</formula>
    </cfRule>
    <cfRule type="expression" priority="507" aboveAverage="0" equalAverage="0" bottom="0" percent="0" rank="0" text="" dxfId="2">
      <formula>AND(ISNUMBER(F66),F66&lt;=INSP_G,F66&gt;=INSP_R)</formula>
    </cfRule>
    <cfRule type="expression" priority="508" aboveAverage="0" equalAverage="0" bottom="0" percent="0" rank="0" text="" dxfId="0">
      <formula>AND(ISNUMBER(F66),F66&lt;INSP_R)</formula>
    </cfRule>
    <cfRule type="expression" priority="509" aboveAverage="0" equalAverage="0" bottom="0" percent="0" rank="0" text="" dxfId="3">
      <formula>F66="N/A"</formula>
    </cfRule>
  </conditionalFormatting>
  <conditionalFormatting sqref="H66">
    <cfRule type="expression" priority="510" aboveAverage="0" equalAverage="0" bottom="0" percent="0" rank="0" text="" dxfId="1">
      <formula>AND(ISNUMBER(H66),H66&gt;LTR_G)</formula>
    </cfRule>
    <cfRule type="expression" priority="511" aboveAverage="0" equalAverage="0" bottom="0" percent="0" rank="0" text="" dxfId="2">
      <formula>AND(ISNUMBER(H66),H66&lt;=LTR_G,H66&gt;=LTR_R)</formula>
    </cfRule>
    <cfRule type="expression" priority="512" aboveAverage="0" equalAverage="0" bottom="0" percent="0" rank="0" text="" dxfId="0">
      <formula>AND(ISNUMBER(H66),H66&lt;LTR_R)</formula>
    </cfRule>
    <cfRule type="expression" priority="513" aboveAverage="0" equalAverage="0" bottom="0" percent="0" rank="0" text="" dxfId="3">
      <formula>H66="N/A"</formula>
    </cfRule>
  </conditionalFormatting>
  <conditionalFormatting sqref="B67">
    <cfRule type="expression" priority="514" aboveAverage="0" equalAverage="0" bottom="0" percent="0" rank="0" text="" dxfId="1">
      <formula>AND(ISNUMBER(B67),B67&lt;=NCR_G)</formula>
    </cfRule>
    <cfRule type="expression" priority="515" aboveAverage="0" equalAverage="0" bottom="0" percent="0" rank="0" text="" dxfId="2">
      <formula>AND(ISNUMBER(B67),B67&gt;NCR_G,B67&lt;NCR_R)</formula>
    </cfRule>
    <cfRule type="expression" priority="516" aboveAverage="0" equalAverage="0" bottom="0" percent="0" rank="0" text="" dxfId="0">
      <formula>AND(ISNUMBER(B67),B67&gt;=NCR_R)</formula>
    </cfRule>
    <cfRule type="expression" priority="517" aboveAverage="0" equalAverage="0" bottom="0" percent="0" rank="0" text="" dxfId="3">
      <formula>B67="N/A"</formula>
    </cfRule>
  </conditionalFormatting>
  <conditionalFormatting sqref="D67">
    <cfRule type="expression" priority="518" aboveAverage="0" equalAverage="0" bottom="0" percent="0" rank="0" text="" dxfId="1">
      <formula>AND(ISNUMBER(D67),D67&gt;EQ_G)</formula>
    </cfRule>
    <cfRule type="expression" priority="519" aboveAverage="0" equalAverage="0" bottom="0" percent="0" rank="0" text="" dxfId="2">
      <formula>AND(ISNUMBER(D67),D67&lt;=EQ_G,D67&gt;=EQ_R)</formula>
    </cfRule>
    <cfRule type="expression" priority="520" aboveAverage="0" equalAverage="0" bottom="0" percent="0" rank="0" text="" dxfId="0">
      <formula>AND(ISNUMBER(D67),D67&lt;EQ_R)</formula>
    </cfRule>
    <cfRule type="expression" priority="521" aboveAverage="0" equalAverage="0" bottom="0" percent="0" rank="0" text="" dxfId="3">
      <formula>D67="N/A"</formula>
    </cfRule>
  </conditionalFormatting>
  <conditionalFormatting sqref="F67">
    <cfRule type="expression" priority="522" aboveAverage="0" equalAverage="0" bottom="0" percent="0" rank="0" text="" dxfId="1">
      <formula>AND(ISNUMBER(F67),F67&gt;INSP_G)</formula>
    </cfRule>
    <cfRule type="expression" priority="523" aboveAverage="0" equalAverage="0" bottom="0" percent="0" rank="0" text="" dxfId="2">
      <formula>AND(ISNUMBER(F67),F67&lt;=INSP_G,F67&gt;=INSP_R)</formula>
    </cfRule>
    <cfRule type="expression" priority="524" aboveAverage="0" equalAverage="0" bottom="0" percent="0" rank="0" text="" dxfId="0">
      <formula>AND(ISNUMBER(F67),F67&lt;INSP_R)</formula>
    </cfRule>
    <cfRule type="expression" priority="525" aboveAverage="0" equalAverage="0" bottom="0" percent="0" rank="0" text="" dxfId="3">
      <formula>F67="N/A"</formula>
    </cfRule>
  </conditionalFormatting>
  <conditionalFormatting sqref="H67">
    <cfRule type="expression" priority="526" aboveAverage="0" equalAverage="0" bottom="0" percent="0" rank="0" text="" dxfId="1">
      <formula>AND(ISNUMBER(H67),H67&gt;LTR_G)</formula>
    </cfRule>
    <cfRule type="expression" priority="527" aboveAverage="0" equalAverage="0" bottom="0" percent="0" rank="0" text="" dxfId="2">
      <formula>AND(ISNUMBER(H67),H67&lt;=LTR_G,H67&gt;=LTR_R)</formula>
    </cfRule>
    <cfRule type="expression" priority="528" aboveAverage="0" equalAverage="0" bottom="0" percent="0" rank="0" text="" dxfId="0">
      <formula>AND(ISNUMBER(H67),H67&lt;LTR_R)</formula>
    </cfRule>
    <cfRule type="expression" priority="529" aboveAverage="0" equalAverage="0" bottom="0" percent="0" rank="0" text="" dxfId="3">
      <formula>H67="N/A"</formula>
    </cfRule>
  </conditionalFormatting>
  <conditionalFormatting sqref="B68">
    <cfRule type="expression" priority="530" aboveAverage="0" equalAverage="0" bottom="0" percent="0" rank="0" text="" dxfId="1">
      <formula>AND(ISNUMBER(B68),B68&lt;=NCR_G)</formula>
    </cfRule>
    <cfRule type="expression" priority="531" aboveAverage="0" equalAverage="0" bottom="0" percent="0" rank="0" text="" dxfId="2">
      <formula>AND(ISNUMBER(B68),B68&gt;NCR_G,B68&lt;NCR_R)</formula>
    </cfRule>
    <cfRule type="expression" priority="532" aboveAverage="0" equalAverage="0" bottom="0" percent="0" rank="0" text="" dxfId="0">
      <formula>AND(ISNUMBER(B68),B68&gt;=NCR_R)</formula>
    </cfRule>
    <cfRule type="expression" priority="533" aboveAverage="0" equalAverage="0" bottom="0" percent="0" rank="0" text="" dxfId="3">
      <formula>B68="N/A"</formula>
    </cfRule>
  </conditionalFormatting>
  <conditionalFormatting sqref="D68">
    <cfRule type="expression" priority="534" aboveAverage="0" equalAverage="0" bottom="0" percent="0" rank="0" text="" dxfId="1">
      <formula>AND(ISNUMBER(D68),D68&gt;EQ_G)</formula>
    </cfRule>
    <cfRule type="expression" priority="535" aboveAverage="0" equalAverage="0" bottom="0" percent="0" rank="0" text="" dxfId="2">
      <formula>AND(ISNUMBER(D68),D68&lt;=EQ_G,D68&gt;=EQ_R)</formula>
    </cfRule>
    <cfRule type="expression" priority="536" aboveAverage="0" equalAverage="0" bottom="0" percent="0" rank="0" text="" dxfId="0">
      <formula>AND(ISNUMBER(D68),D68&lt;EQ_R)</formula>
    </cfRule>
    <cfRule type="expression" priority="537" aboveAverage="0" equalAverage="0" bottom="0" percent="0" rank="0" text="" dxfId="3">
      <formula>D68="N/A"</formula>
    </cfRule>
  </conditionalFormatting>
  <conditionalFormatting sqref="F68">
    <cfRule type="expression" priority="538" aboveAverage="0" equalAverage="0" bottom="0" percent="0" rank="0" text="" dxfId="1">
      <formula>AND(ISNUMBER(F68),F68&gt;INSP_G)</formula>
    </cfRule>
    <cfRule type="expression" priority="539" aboveAverage="0" equalAverage="0" bottom="0" percent="0" rank="0" text="" dxfId="2">
      <formula>AND(ISNUMBER(F68),F68&lt;=INSP_G,F68&gt;=INSP_R)</formula>
    </cfRule>
    <cfRule type="expression" priority="540" aboveAverage="0" equalAverage="0" bottom="0" percent="0" rank="0" text="" dxfId="0">
      <formula>AND(ISNUMBER(F68),F68&lt;INSP_R)</formula>
    </cfRule>
    <cfRule type="expression" priority="541" aboveAverage="0" equalAverage="0" bottom="0" percent="0" rank="0" text="" dxfId="3">
      <formula>F68="N/A"</formula>
    </cfRule>
  </conditionalFormatting>
  <conditionalFormatting sqref="H68">
    <cfRule type="expression" priority="542" aboveAverage="0" equalAverage="0" bottom="0" percent="0" rank="0" text="" dxfId="1">
      <formula>AND(ISNUMBER(H68),H68&gt;LTR_G)</formula>
    </cfRule>
    <cfRule type="expression" priority="543" aboveAverage="0" equalAverage="0" bottom="0" percent="0" rank="0" text="" dxfId="2">
      <formula>AND(ISNUMBER(H68),H68&lt;=LTR_G,H68&gt;=LTR_R)</formula>
    </cfRule>
    <cfRule type="expression" priority="544" aboveAverage="0" equalAverage="0" bottom="0" percent="0" rank="0" text="" dxfId="0">
      <formula>AND(ISNUMBER(H68),H68&lt;LTR_R)</formula>
    </cfRule>
    <cfRule type="expression" priority="545" aboveAverage="0" equalAverage="0" bottom="0" percent="0" rank="0" text="" dxfId="3">
      <formula>H68="N/A"</formula>
    </cfRule>
  </conditionalFormatting>
  <dataValidations count="1">
    <dataValidation allowBlank="true" error="Enter a whole number of 0 or more." errorStyle="stop" errorTitle="Whole number required" operator="greaterThanOrEqual" showDropDown="false" showErrorMessage="true" showInputMessage="false" sqref="B76:M83 B89:M96 B102:B109 D102:I109" type="whole">
      <formula1>0</formula1>
      <formula2>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7A"/>
    <pageSetUpPr fitToPage="true"/>
  </sheetPr>
  <dimension ref="A1:M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3" min="2" style="0" width="12"/>
  </cols>
  <sheetData>
    <row r="1" customFormat="false" ht="6" hidden="false" customHeight="true" outlineLevel="0" collapsed="false"/>
    <row r="2" customFormat="false" ht="31.5" hidden="false" customHeight="true" outlineLevel="0" collapsed="false">
      <c r="A2" s="1" t="s">
        <v>100</v>
      </c>
      <c r="B2" s="1"/>
      <c r="C2" s="1"/>
      <c r="D2" s="1"/>
      <c r="E2" s="1"/>
      <c r="F2" s="1"/>
      <c r="G2" s="1"/>
      <c r="H2" s="1"/>
      <c r="I2" s="17" t="str">
        <f aca="false">PeriodText</f>
        <v>Period 7 – 23/10/2026</v>
      </c>
      <c r="J2" s="17"/>
      <c r="K2" s="17"/>
      <c r="L2" s="17"/>
      <c r="M2" s="17"/>
    </row>
    <row r="3" customFormat="false" ht="15.75" hidden="false" customHeight="true" outlineLevel="0" collapsed="false">
      <c r="J3" s="52" t="str">
        <f aca="false">HYPERLINK("#'Calder'!A70","Go to project data entry ▼")</f>
        <v>Go to project data entry ▼</v>
      </c>
      <c r="K3" s="52"/>
      <c r="L3" s="52"/>
      <c r="M3" s="52"/>
    </row>
    <row r="4" customFormat="false" ht="21.75" hidden="false" customHeight="true" outlineLevel="0" collapsed="false">
      <c r="A4" s="3" t="s">
        <v>40</v>
      </c>
      <c r="B4" s="4"/>
      <c r="C4" s="4"/>
      <c r="D4" s="4"/>
      <c r="E4" s="4"/>
      <c r="F4" s="4"/>
      <c r="G4" s="4"/>
      <c r="H4" s="4"/>
      <c r="I4" s="4"/>
      <c r="J4" s="18" t="s">
        <v>41</v>
      </c>
      <c r="K4" s="19" t="str">
        <f aca="false">"&gt;"&amp;TEXT(PBI_G,"0%")</f>
        <v>&gt;90%</v>
      </c>
      <c r="L4" s="20" t="str">
        <f aca="false">TEXT(PBI_R,"0%")&amp;" – "&amp;TEXT(PBI_G,"0%")</f>
        <v>75% – 90%</v>
      </c>
      <c r="M4" s="21" t="str">
        <f aca="false">"&lt;"&amp;TEXT(PBI_R,"0%")</f>
        <v>&lt;75%</v>
      </c>
    </row>
    <row r="5" customFormat="false" ht="33.75" hidden="false" customHeight="true" outlineLevel="0" collapsed="false">
      <c r="B5" s="14" t="s">
        <v>42</v>
      </c>
      <c r="C5" s="14"/>
      <c r="D5" s="14" t="s">
        <v>43</v>
      </c>
      <c r="E5" s="14"/>
      <c r="F5" s="14" t="s">
        <v>44</v>
      </c>
      <c r="G5" s="14"/>
      <c r="H5" s="14" t="s">
        <v>45</v>
      </c>
      <c r="I5" s="14"/>
      <c r="J5" s="14" t="s">
        <v>46</v>
      </c>
      <c r="K5" s="14"/>
      <c r="L5" s="14" t="s">
        <v>47</v>
      </c>
      <c r="M5" s="14"/>
    </row>
    <row r="6" customFormat="false" ht="21.75" hidden="false" customHeight="true" outlineLevel="0" collapsed="false">
      <c r="A6" s="22" t="str">
        <f aca="false">PrevLbl&amp;" (previous)"</f>
        <v>P6 (previous)</v>
      </c>
      <c r="B6" s="23" t="str">
        <f aca="false">IF(N(C97)=0,"N/A",N(B97)/C97)</f>
        <v>N/A</v>
      </c>
      <c r="C6" s="23"/>
      <c r="D6" s="23" t="str">
        <f aca="false">IF(N(E97)=0,"N/A",N(D97)/E97)</f>
        <v>N/A</v>
      </c>
      <c r="E6" s="23"/>
      <c r="F6" s="23" t="str">
        <f aca="false">IF(N(G97)=0,"N/A",N(F97)/G97)</f>
        <v>N/A</v>
      </c>
      <c r="G6" s="23"/>
      <c r="H6" s="23" t="str">
        <f aca="false">IF(N(I97)=0,"N/A",N(H97)/I97)</f>
        <v>N/A</v>
      </c>
      <c r="I6" s="23"/>
      <c r="J6" s="23" t="str">
        <f aca="false">IF(N(K97)=0,"N/A",N(J97)/K97)</f>
        <v>N/A</v>
      </c>
      <c r="K6" s="23"/>
      <c r="L6" s="23" t="str">
        <f aca="false">IF(N(M97)=0,"N/A",N(L97)/M97)</f>
        <v>N/A</v>
      </c>
      <c r="M6" s="23"/>
    </row>
    <row r="7" customFormat="false" ht="15" hidden="false" customHeight="true" outlineLevel="0" collapsed="false">
      <c r="B7" s="24" t="str">
        <f aca="false">IF(N(C97)=0,"",N(B97)&amp;"/"&amp;C97)</f>
        <v/>
      </c>
      <c r="C7" s="24"/>
      <c r="D7" s="24" t="str">
        <f aca="false">IF(N(E97)=0,"",N(D97)&amp;"/"&amp;E97)</f>
        <v/>
      </c>
      <c r="E7" s="24"/>
      <c r="F7" s="24" t="str">
        <f aca="false">IF(N(G97)=0,"",N(F97)&amp;"/"&amp;G97)</f>
        <v/>
      </c>
      <c r="G7" s="24"/>
      <c r="H7" s="24" t="str">
        <f aca="false">IF(N(I97)=0,"",N(H97)&amp;"/"&amp;I97)</f>
        <v/>
      </c>
      <c r="I7" s="24"/>
      <c r="J7" s="24" t="str">
        <f aca="false">IF(N(K97)=0,"",N(J97)&amp;"/"&amp;K97)</f>
        <v/>
      </c>
      <c r="K7" s="24"/>
      <c r="L7" s="24" t="str">
        <f aca="false">IF(N(M97)=0,"",N(L97)&amp;"/"&amp;M97)</f>
        <v/>
      </c>
      <c r="M7" s="24"/>
    </row>
    <row r="8" customFormat="false" ht="15" hidden="false" customHeight="true" outlineLevel="0" collapsed="false">
      <c r="B8" s="25" t="str">
        <f aca="false">IF(NOT(ISNUMBER(B6)),"N/A",IF(B6&gt;PBI_G,"Green",IF(B6&lt;PBI_R,"Red","Amber")))</f>
        <v>N/A</v>
      </c>
      <c r="C8" s="25"/>
      <c r="D8" s="25" t="str">
        <f aca="false">IF(NOT(ISNUMBER(D6)),"N/A",IF(D6&gt;PBI_G,"Green",IF(D6&lt;PBI_R,"Red","Amber")))</f>
        <v>N/A</v>
      </c>
      <c r="E8" s="25"/>
      <c r="F8" s="25" t="str">
        <f aca="false">IF(NOT(ISNUMBER(F6)),"N/A",IF(F6&gt;PBI_G,"Green",IF(F6&lt;PBI_R,"Red","Amber")))</f>
        <v>N/A</v>
      </c>
      <c r="G8" s="25"/>
      <c r="H8" s="25" t="str">
        <f aca="false">IF(NOT(ISNUMBER(H6)),"N/A",IF(H6&gt;PBI_G,"Green",IF(H6&lt;PBI_R,"Red","Amber")))</f>
        <v>N/A</v>
      </c>
      <c r="I8" s="25"/>
      <c r="J8" s="25" t="str">
        <f aca="false">IF(NOT(ISNUMBER(J6)),"N/A",IF(J6&gt;PBI_G,"Green",IF(J6&lt;PBI_R,"Red","Amber")))</f>
        <v>N/A</v>
      </c>
      <c r="K8" s="25"/>
      <c r="L8" s="25" t="str">
        <f aca="false">IF(NOT(ISNUMBER(L6)),"N/A",IF(L6&gt;PBI_G,"Green",IF(L6&lt;PBI_R,"Red","Amber")))</f>
        <v>N/A</v>
      </c>
      <c r="M8" s="25"/>
    </row>
    <row r="9" customFormat="false" ht="6" hidden="false" customHeight="true" outlineLevel="0" collapsed="false"/>
    <row r="10" customFormat="false" ht="36" hidden="false" customHeight="true" outlineLevel="0" collapsed="false">
      <c r="A10" s="26" t="str">
        <f aca="false">CurLbl&amp;" (current)"</f>
        <v>P7 (current)</v>
      </c>
      <c r="B10" s="27" t="str">
        <f aca="false">IF(N(C84)=0,"N/A",N(B84)/C84)</f>
        <v>N/A</v>
      </c>
      <c r="C10" s="27"/>
      <c r="D10" s="27" t="str">
        <f aca="false">IF(N(E84)=0,"N/A",N(D84)/E84)</f>
        <v>N/A</v>
      </c>
      <c r="E10" s="27"/>
      <c r="F10" s="27" t="str">
        <f aca="false">IF(N(G84)=0,"N/A",N(F84)/G84)</f>
        <v>N/A</v>
      </c>
      <c r="G10" s="27"/>
      <c r="H10" s="27" t="str">
        <f aca="false">IF(N(I84)=0,"N/A",N(H84)/I84)</f>
        <v>N/A</v>
      </c>
      <c r="I10" s="27"/>
      <c r="J10" s="27" t="str">
        <f aca="false">IF(N(K84)=0,"N/A",N(J84)/K84)</f>
        <v>N/A</v>
      </c>
      <c r="K10" s="27"/>
      <c r="L10" s="27" t="str">
        <f aca="false">IF(N(M84)=0,"N/A",N(L84)/M84)</f>
        <v>N/A</v>
      </c>
      <c r="M10" s="27"/>
    </row>
    <row r="11" customFormat="false" ht="15.75" hidden="false" customHeight="true" outlineLevel="0" collapsed="false">
      <c r="B11" s="24" t="str">
        <f aca="false">IF(N(C84)=0,"",N(B84)&amp;"/"&amp;C84)</f>
        <v/>
      </c>
      <c r="C11" s="24"/>
      <c r="D11" s="24" t="str">
        <f aca="false">IF(N(E84)=0,"",N(D84)&amp;"/"&amp;E84)</f>
        <v/>
      </c>
      <c r="E11" s="24"/>
      <c r="F11" s="24" t="str">
        <f aca="false">IF(N(G84)=0,"",N(F84)&amp;"/"&amp;G84)</f>
        <v/>
      </c>
      <c r="G11" s="24"/>
      <c r="H11" s="24" t="str">
        <f aca="false">IF(N(I84)=0,"",N(H84)&amp;"/"&amp;I84)</f>
        <v/>
      </c>
      <c r="I11" s="24"/>
      <c r="J11" s="24" t="str">
        <f aca="false">IF(N(K84)=0,"",N(J84)&amp;"/"&amp;K84)</f>
        <v/>
      </c>
      <c r="K11" s="24"/>
      <c r="L11" s="24" t="str">
        <f aca="false">IF(N(M84)=0,"",N(L84)&amp;"/"&amp;M84)</f>
        <v/>
      </c>
      <c r="M11" s="24"/>
    </row>
    <row r="12" customFormat="false" ht="15.75" hidden="false" customHeight="true" outlineLevel="0" collapsed="false">
      <c r="B12" s="25" t="str">
        <f aca="false">IF(NOT(ISNUMBER(B10)),"N/A",IF(B10&gt;PBI_G,"Green",IF(B10&lt;PBI_R,"Red","Amber")))</f>
        <v>N/A</v>
      </c>
      <c r="C12" s="25"/>
      <c r="D12" s="25" t="str">
        <f aca="false">IF(NOT(ISNUMBER(D10)),"N/A",IF(D10&gt;PBI_G,"Green",IF(D10&lt;PBI_R,"Red","Amber")))</f>
        <v>N/A</v>
      </c>
      <c r="E12" s="25"/>
      <c r="F12" s="25" t="str">
        <f aca="false">IF(NOT(ISNUMBER(F10)),"N/A",IF(F10&gt;PBI_G,"Green",IF(F10&lt;PBI_R,"Red","Amber")))</f>
        <v>N/A</v>
      </c>
      <c r="G12" s="25"/>
      <c r="H12" s="25" t="str">
        <f aca="false">IF(NOT(ISNUMBER(H10)),"N/A",IF(H10&gt;PBI_G,"Green",IF(H10&lt;PBI_R,"Red","Amber")))</f>
        <v>N/A</v>
      </c>
      <c r="I12" s="25"/>
      <c r="J12" s="25" t="str">
        <f aca="false">IF(NOT(ISNUMBER(J10)),"N/A",IF(J10&gt;PBI_G,"Green",IF(J10&lt;PBI_R,"Red","Amber")))</f>
        <v>N/A</v>
      </c>
      <c r="K12" s="25"/>
      <c r="L12" s="25" t="str">
        <f aca="false">IF(NOT(ISNUMBER(L10)),"N/A",IF(L10&gt;PBI_G,"Green",IF(L10&lt;PBI_R,"Red","Amber")))</f>
        <v>N/A</v>
      </c>
      <c r="M12" s="25"/>
    </row>
    <row r="13" customFormat="false" ht="15.75" hidden="false" customHeight="true" outlineLevel="0" collapsed="false">
      <c r="A13" s="28" t="s">
        <v>48</v>
      </c>
      <c r="B13" s="29" t="str">
        <f aca="false">IF(OR(NOT(ISNUMBER(B6)),NOT(ISNUMBER(B10))),"–",IF(ROUND(B10-B6,4)&gt;0,"▲ ",IF(ROUND(B10-B6,4)&lt;0,"▼ ","► "))&amp;TEXT(ABS(B10-B6)*100,"0.0")&amp;" pts vs "&amp;PrevLbl)</f>
        <v>–</v>
      </c>
      <c r="C13" s="29"/>
      <c r="D13" s="29" t="str">
        <f aca="false">IF(OR(NOT(ISNUMBER(D6)),NOT(ISNUMBER(D10))),"–",IF(ROUND(D10-D6,4)&gt;0,"▲ ",IF(ROUND(D10-D6,4)&lt;0,"▼ ","► "))&amp;TEXT(ABS(D10-D6)*100,"0.0")&amp;" pts vs "&amp;PrevLbl)</f>
        <v>–</v>
      </c>
      <c r="E13" s="29"/>
      <c r="F13" s="29" t="str">
        <f aca="false">IF(OR(NOT(ISNUMBER(F6)),NOT(ISNUMBER(F10))),"–",IF(ROUND(F10-F6,4)&gt;0,"▲ ",IF(ROUND(F10-F6,4)&lt;0,"▼ ","► "))&amp;TEXT(ABS(F10-F6)*100,"0.0")&amp;" pts vs "&amp;PrevLbl)</f>
        <v>–</v>
      </c>
      <c r="G13" s="29"/>
      <c r="H13" s="29" t="str">
        <f aca="false">IF(OR(NOT(ISNUMBER(H6)),NOT(ISNUMBER(H10))),"–",IF(ROUND(H10-H6,4)&gt;0,"▲ ",IF(ROUND(H10-H6,4)&lt;0,"▼ ","► "))&amp;TEXT(ABS(H10-H6)*100,"0.0")&amp;" pts vs "&amp;PrevLbl)</f>
        <v>–</v>
      </c>
      <c r="I13" s="29"/>
      <c r="J13" s="29" t="str">
        <f aca="false">IF(OR(NOT(ISNUMBER(J6)),NOT(ISNUMBER(J10))),"–",IF(ROUND(J10-J6,4)&gt;0,"▲ ",IF(ROUND(J10-J6,4)&lt;0,"▼ ","► "))&amp;TEXT(ABS(J10-J6)*100,"0.0")&amp;" pts vs "&amp;PrevLbl)</f>
        <v>–</v>
      </c>
      <c r="K13" s="29"/>
      <c r="L13" s="29" t="str">
        <f aca="false">IF(OR(NOT(ISNUMBER(L6)),NOT(ISNUMBER(L10))),"–",IF(ROUND(L10-L6,4)&gt;0,"▲ ",IF(ROUND(L10-L6,4)&lt;0,"▼ ","► "))&amp;TEXT(ABS(L10-L6)*100,"0.0")&amp;" pts vs "&amp;PrevLbl)</f>
        <v>–</v>
      </c>
      <c r="M13" s="29"/>
    </row>
    <row r="14" customFormat="false" ht="9.75" hidden="false" customHeight="true" outlineLevel="0" collapsed="false"/>
    <row r="15" customFormat="false" ht="21.75" hidden="false" customHeight="true" outlineLevel="0" collapsed="false">
      <c r="A15" s="3" t="s">
        <v>49</v>
      </c>
      <c r="B15" s="4"/>
      <c r="C15" s="4"/>
      <c r="D15" s="4"/>
      <c r="E15" s="4"/>
      <c r="F15" s="4"/>
      <c r="G15" s="4"/>
      <c r="H15" s="4"/>
      <c r="I15" s="4"/>
    </row>
    <row r="16" customFormat="false" ht="33.75" hidden="false" customHeight="true" outlineLevel="0" collapsed="false">
      <c r="B16" s="14" t="s">
        <v>50</v>
      </c>
      <c r="C16" s="14"/>
      <c r="D16" s="14" t="s">
        <v>51</v>
      </c>
      <c r="E16" s="14"/>
      <c r="F16" s="14" t="s">
        <v>52</v>
      </c>
      <c r="G16" s="14"/>
      <c r="H16" s="14" t="s">
        <v>53</v>
      </c>
      <c r="I16" s="14"/>
      <c r="J16" s="30" t="s">
        <v>85</v>
      </c>
      <c r="K16" s="30"/>
      <c r="L16" s="30"/>
      <c r="M16" s="30"/>
    </row>
    <row r="17" customFormat="false" ht="30" hidden="false" customHeight="true" outlineLevel="0" collapsed="false">
      <c r="B17" s="31" t="str">
        <f aca="false">"Green ≤"&amp;NCR_G&amp;" · Amber "&amp;(NCR_G+1)&amp;"–"&amp;(NCR_R-1)&amp;" · Red ≥"&amp;NCR_R</f>
        <v>Green ≤2 · Amber 3–5 · Red ≥6</v>
      </c>
      <c r="C17" s="31"/>
      <c r="D17" s="31" t="str">
        <f aca="false">"Green &gt;"&amp;TEXT(EQ_G,"0%")&amp;" · Amber "&amp;TEXT(EQ_R,"0%")&amp;"–"&amp;TEXT(EQ_G,"0%")&amp;" · Red &lt;"&amp;TEXT(EQ_R,"0%")</f>
        <v>Green &gt;80% · Amber 70%–80% · Red &lt;70%</v>
      </c>
      <c r="E17" s="31"/>
      <c r="F17" s="31" t="str">
        <f aca="false">"Green &gt;"&amp;TEXT(INSP_G,"0%")&amp;" · Amber "&amp;TEXT(INSP_R,"0%")&amp;"–"&amp;TEXT(INSP_G,"0%")&amp;" · Red &lt;"&amp;TEXT(INSP_R,"0%")</f>
        <v>Green &gt;95% · Amber 90%–95% · Red &lt;90%</v>
      </c>
      <c r="G17" s="31"/>
      <c r="H17" s="31" t="str">
        <f aca="false">"Green &gt;"&amp;TEXT(LTR_G,"0%")&amp;" · Amber "&amp;TEXT(LTR_R,"0%")&amp;"–"&amp;TEXT(LTR_G,"0%")&amp;" · Red &lt;"&amp;TEXT(LTR_R,"0%")</f>
        <v>Green &gt;95% · Amber 70%–95% · Red &lt;70%</v>
      </c>
      <c r="I17" s="31"/>
      <c r="J17" s="32"/>
      <c r="K17" s="32"/>
      <c r="L17" s="32"/>
      <c r="M17" s="32"/>
    </row>
    <row r="18" customFormat="false" ht="36" hidden="false" customHeight="true" outlineLevel="0" collapsed="false">
      <c r="A18" s="26" t="str">
        <f aca="false">CurLbl&amp;" (current)"</f>
        <v>P7 (current)</v>
      </c>
      <c r="B18" s="33" t="str">
        <f aca="false">IF(ISNUMBER(B110),B110,"N/A")</f>
        <v>N/A</v>
      </c>
      <c r="C18" s="33"/>
      <c r="D18" s="27" t="str">
        <f aca="false">IF(N(E110)=0,"N/A",N(D110)/E110)</f>
        <v>N/A</v>
      </c>
      <c r="E18" s="27"/>
      <c r="F18" s="27" t="str">
        <f aca="false">IF(N(G110)=0,"N/A",N(F110)/G110)</f>
        <v>N/A</v>
      </c>
      <c r="G18" s="27"/>
      <c r="H18" s="27" t="str">
        <f aca="false">IF(N(I110)=0,"N/A",N(H110)/I110)</f>
        <v>N/A</v>
      </c>
      <c r="I18" s="27"/>
      <c r="J18" s="32"/>
      <c r="K18" s="32"/>
      <c r="L18" s="32"/>
      <c r="M18" s="32"/>
    </row>
    <row r="19" customFormat="false" ht="15.75" hidden="false" customHeight="true" outlineLevel="0" collapsed="false">
      <c r="B19" s="24" t="str">
        <f aca="false">IF(ISNUMBER(B110),"live NCRs","")</f>
        <v/>
      </c>
      <c r="C19" s="24"/>
      <c r="D19" s="24" t="str">
        <f aca="false">IF(N(E110)=0,"",N(D110)&amp;"/"&amp;E110)</f>
        <v/>
      </c>
      <c r="E19" s="24"/>
      <c r="F19" s="24" t="str">
        <f aca="false">IF(N(G110)=0,"",N(F110)&amp;"/"&amp;G110)</f>
        <v/>
      </c>
      <c r="G19" s="24"/>
      <c r="H19" s="24" t="str">
        <f aca="false">IF(N(I110)=0,"",N(H110)&amp;"/"&amp;I110)</f>
        <v/>
      </c>
      <c r="I19" s="24"/>
      <c r="J19" s="32"/>
      <c r="K19" s="32"/>
      <c r="L19" s="32"/>
      <c r="M19" s="32"/>
    </row>
    <row r="20" customFormat="false" ht="15.75" hidden="false" customHeight="true" outlineLevel="0" collapsed="false">
      <c r="B20" s="25" t="str">
        <f aca="false">IF(NOT(ISNUMBER(B18)),"N/A",IF(B18&lt;=NCR_G,"Green",IF(B18&gt;=NCR_R,"Red","Amber")))</f>
        <v>N/A</v>
      </c>
      <c r="C20" s="25"/>
      <c r="D20" s="25" t="str">
        <f aca="false">IF(NOT(ISNUMBER(D18)),"N/A",IF(D18&gt;EQ_G,"Green",IF(D18&lt;EQ_R,"Red","Amber")))</f>
        <v>N/A</v>
      </c>
      <c r="E20" s="25"/>
      <c r="F20" s="25" t="str">
        <f aca="false">IF(NOT(ISNUMBER(F18)),"N/A",IF(F18&gt;INSP_G,"Green",IF(F18&lt;INSP_R,"Red","Amber")))</f>
        <v>N/A</v>
      </c>
      <c r="G20" s="25"/>
      <c r="H20" s="25" t="str">
        <f aca="false">IF(NOT(ISNUMBER(H18)),"N/A",IF(H18&gt;LTR_G,"Green",IF(H18&lt;LTR_R,"Red","Amber")))</f>
        <v>N/A</v>
      </c>
      <c r="I20" s="25"/>
      <c r="J20" s="32"/>
      <c r="K20" s="32"/>
      <c r="L20" s="32"/>
      <c r="M20" s="32"/>
    </row>
    <row r="21" customFormat="false" ht="9.75" hidden="false" customHeight="true" outlineLevel="0" collapsed="false">
      <c r="J21" s="32"/>
      <c r="K21" s="32"/>
      <c r="L21" s="32"/>
      <c r="M21" s="32"/>
    </row>
    <row r="22" customFormat="false" ht="21.75" hidden="false" customHeight="true" outlineLevel="0" collapsed="false">
      <c r="A22" s="3" t="s">
        <v>86</v>
      </c>
      <c r="B22" s="4"/>
      <c r="C22" s="4"/>
      <c r="D22" s="4"/>
      <c r="E22" s="4"/>
      <c r="F22" s="4"/>
      <c r="G22" s="4"/>
      <c r="H22" s="4"/>
      <c r="I22" s="4"/>
      <c r="J22" s="32"/>
      <c r="K22" s="32"/>
      <c r="L22" s="32"/>
      <c r="M22" s="32"/>
    </row>
    <row r="23" customFormat="false" ht="15" hidden="false" customHeight="true" outlineLevel="0" collapsed="false">
      <c r="A23" s="36" t="s">
        <v>25</v>
      </c>
      <c r="B23" s="14" t="s">
        <v>87</v>
      </c>
      <c r="C23" s="14"/>
      <c r="D23" s="14" t="s">
        <v>51</v>
      </c>
      <c r="E23" s="14"/>
      <c r="F23" s="14" t="s">
        <v>52</v>
      </c>
      <c r="G23" s="14"/>
      <c r="H23" s="14" t="s">
        <v>53</v>
      </c>
      <c r="I23" s="14"/>
      <c r="J23" s="32"/>
      <c r="K23" s="32"/>
      <c r="L23" s="32"/>
      <c r="M23" s="32"/>
    </row>
    <row r="24" customFormat="false" ht="31.5" hidden="false" customHeight="true" outlineLevel="0" collapsed="false">
      <c r="A24" s="46" t="s">
        <v>101</v>
      </c>
      <c r="B24" s="45"/>
      <c r="C24" s="45"/>
      <c r="D24" s="45"/>
      <c r="E24" s="45"/>
      <c r="F24" s="45"/>
      <c r="G24" s="45"/>
      <c r="H24" s="45"/>
      <c r="I24" s="45"/>
      <c r="J24" s="32"/>
      <c r="K24" s="32"/>
      <c r="L24" s="32"/>
      <c r="M24" s="32"/>
    </row>
    <row r="25" customFormat="false" ht="31.5" hidden="false" customHeight="true" outlineLevel="0" collapsed="false">
      <c r="A25" s="46" t="str">
        <f aca="false">IF($A$76="","",$A$76)</f>
        <v>Project 1</v>
      </c>
      <c r="B25" s="45"/>
      <c r="C25" s="45"/>
      <c r="D25" s="45"/>
      <c r="E25" s="45"/>
      <c r="F25" s="45"/>
      <c r="G25" s="45"/>
      <c r="H25" s="45"/>
      <c r="I25" s="45"/>
      <c r="J25" s="32"/>
      <c r="K25" s="32"/>
      <c r="L25" s="32"/>
      <c r="M25" s="32"/>
    </row>
    <row r="26" customFormat="false" ht="31.5" hidden="false" customHeight="true" outlineLevel="0" collapsed="false">
      <c r="A26" s="46" t="str">
        <f aca="false">IF($A$77="","",$A$77)</f>
        <v>Project 2</v>
      </c>
      <c r="B26" s="45"/>
      <c r="C26" s="45"/>
      <c r="D26" s="45"/>
      <c r="E26" s="45"/>
      <c r="F26" s="45"/>
      <c r="G26" s="45"/>
      <c r="H26" s="45"/>
      <c r="I26" s="45"/>
      <c r="J26" s="32"/>
      <c r="K26" s="32"/>
      <c r="L26" s="32"/>
      <c r="M26" s="32"/>
    </row>
    <row r="27" customFormat="false" ht="31.5" hidden="false" customHeight="true" outlineLevel="0" collapsed="false">
      <c r="A27" s="46" t="str">
        <f aca="false">IF($A$78="","",$A$78)</f>
        <v>Project 3</v>
      </c>
      <c r="B27" s="45"/>
      <c r="C27" s="45"/>
      <c r="D27" s="45"/>
      <c r="E27" s="45"/>
      <c r="F27" s="45"/>
      <c r="G27" s="45"/>
      <c r="H27" s="45"/>
      <c r="I27" s="45"/>
      <c r="J27" s="32"/>
      <c r="K27" s="32"/>
      <c r="L27" s="32"/>
      <c r="M27" s="32"/>
    </row>
    <row r="28" customFormat="false" ht="31.5" hidden="false" customHeight="true" outlineLevel="0" collapsed="false">
      <c r="A28" s="46" t="str">
        <f aca="false">IF($A$79="","",$A$79)</f>
        <v>Project 4</v>
      </c>
      <c r="B28" s="45"/>
      <c r="C28" s="45"/>
      <c r="D28" s="45"/>
      <c r="E28" s="45"/>
      <c r="F28" s="45"/>
      <c r="G28" s="45"/>
      <c r="H28" s="45"/>
      <c r="I28" s="45"/>
      <c r="J28" s="32"/>
      <c r="K28" s="32"/>
      <c r="L28" s="32"/>
      <c r="M28" s="32"/>
    </row>
    <row r="29" customFormat="false" ht="31.5" hidden="false" customHeight="true" outlineLevel="0" collapsed="false">
      <c r="A29" s="46" t="str">
        <f aca="false">IF($A$80="","",$A$80)</f>
        <v>Project 5</v>
      </c>
      <c r="B29" s="45"/>
      <c r="C29" s="45"/>
      <c r="D29" s="45"/>
      <c r="E29" s="45"/>
      <c r="F29" s="45"/>
      <c r="G29" s="45"/>
      <c r="H29" s="45"/>
      <c r="I29" s="45"/>
      <c r="J29" s="32"/>
      <c r="K29" s="32"/>
      <c r="L29" s="32"/>
      <c r="M29" s="32"/>
    </row>
    <row r="30" customFormat="false" ht="31.5" hidden="false" customHeight="true" outlineLevel="0" collapsed="false">
      <c r="A30" s="46" t="str">
        <f aca="false">IF($A$81="","",$A$81)</f>
        <v>Project 6</v>
      </c>
      <c r="B30" s="45"/>
      <c r="C30" s="45"/>
      <c r="D30" s="45"/>
      <c r="E30" s="45"/>
      <c r="F30" s="45"/>
      <c r="G30" s="45"/>
      <c r="H30" s="45"/>
      <c r="I30" s="45"/>
      <c r="J30" s="32"/>
      <c r="K30" s="32"/>
      <c r="L30" s="32"/>
      <c r="M30" s="32"/>
    </row>
    <row r="31" customFormat="false" ht="31.5" hidden="false" customHeight="true" outlineLevel="0" collapsed="false">
      <c r="A31" s="46" t="str">
        <f aca="false">IF($A$82="","",$A$82)</f>
        <v/>
      </c>
      <c r="B31" s="45"/>
      <c r="C31" s="45"/>
      <c r="D31" s="45"/>
      <c r="E31" s="45"/>
      <c r="F31" s="45"/>
      <c r="G31" s="45"/>
      <c r="H31" s="45"/>
      <c r="I31" s="45"/>
      <c r="J31" s="32"/>
      <c r="K31" s="32"/>
      <c r="L31" s="32"/>
      <c r="M31" s="32"/>
    </row>
    <row r="32" customFormat="false" ht="31.5" hidden="false" customHeight="true" outlineLevel="0" collapsed="false">
      <c r="A32" s="46" t="str">
        <f aca="false">IF($A$83="","",$A$83)</f>
        <v/>
      </c>
      <c r="B32" s="45"/>
      <c r="C32" s="45"/>
      <c r="D32" s="45"/>
      <c r="E32" s="45"/>
      <c r="F32" s="45"/>
      <c r="G32" s="45"/>
      <c r="H32" s="45"/>
      <c r="I32" s="45"/>
      <c r="J32" s="32"/>
      <c r="K32" s="32"/>
      <c r="L32" s="32"/>
      <c r="M32" s="32"/>
    </row>
    <row r="34" customFormat="false" ht="21.75" hidden="false" customHeight="true" outlineLevel="0" collapsed="false">
      <c r="A34" s="3" t="s">
        <v>89</v>
      </c>
      <c r="B34" s="4"/>
      <c r="C34" s="4"/>
      <c r="D34" s="4"/>
      <c r="E34" s="4"/>
      <c r="F34" s="4"/>
      <c r="G34" s="4"/>
      <c r="H34" s="4"/>
      <c r="I34" s="4"/>
      <c r="J34" s="4"/>
      <c r="K34" s="4"/>
      <c r="L34" s="4"/>
      <c r="M34" s="4"/>
    </row>
    <row r="35" customFormat="false" ht="15" hidden="false" customHeight="true" outlineLevel="0" collapsed="false">
      <c r="A35" s="36" t="s">
        <v>90</v>
      </c>
      <c r="B35" s="30" t="s">
        <v>76</v>
      </c>
      <c r="C35" s="30"/>
      <c r="D35" s="30"/>
      <c r="E35" s="30" t="s">
        <v>77</v>
      </c>
      <c r="F35" s="30"/>
      <c r="G35" s="30"/>
      <c r="H35" s="30" t="s">
        <v>78</v>
      </c>
      <c r="I35" s="30"/>
      <c r="J35" s="30"/>
      <c r="K35" s="30" t="s">
        <v>79</v>
      </c>
      <c r="L35" s="30"/>
      <c r="M35" s="30"/>
    </row>
    <row r="36" customFormat="false" ht="39.75" hidden="false" customHeight="true" outlineLevel="0" collapsed="false">
      <c r="A36" s="46" t="s">
        <v>102</v>
      </c>
      <c r="B36" s="45"/>
      <c r="C36" s="45"/>
      <c r="D36" s="45"/>
      <c r="E36" s="45"/>
      <c r="F36" s="45"/>
      <c r="G36" s="45"/>
      <c r="H36" s="45"/>
      <c r="I36" s="45"/>
      <c r="J36" s="45"/>
      <c r="K36" s="45"/>
      <c r="L36" s="45"/>
      <c r="M36" s="45"/>
    </row>
    <row r="37" customFormat="false" ht="39.75" hidden="false" customHeight="true" outlineLevel="0" collapsed="false">
      <c r="A37" s="46" t="str">
        <f aca="false">IF($A$76="","",$A$76)</f>
        <v>Project 1</v>
      </c>
      <c r="B37" s="45"/>
      <c r="C37" s="45"/>
      <c r="D37" s="45"/>
      <c r="E37" s="45"/>
      <c r="F37" s="45"/>
      <c r="G37" s="45"/>
      <c r="H37" s="45"/>
      <c r="I37" s="45"/>
      <c r="J37" s="45"/>
      <c r="K37" s="45"/>
      <c r="L37" s="45"/>
      <c r="M37" s="45"/>
    </row>
    <row r="38" customFormat="false" ht="39.75" hidden="false" customHeight="true" outlineLevel="0" collapsed="false">
      <c r="A38" s="46" t="str">
        <f aca="false">IF($A$77="","",$A$77)</f>
        <v>Project 2</v>
      </c>
      <c r="B38" s="45"/>
      <c r="C38" s="45"/>
      <c r="D38" s="45"/>
      <c r="E38" s="45"/>
      <c r="F38" s="45"/>
      <c r="G38" s="45"/>
      <c r="H38" s="45"/>
      <c r="I38" s="45"/>
      <c r="J38" s="45"/>
      <c r="K38" s="45"/>
      <c r="L38" s="45"/>
      <c r="M38" s="45"/>
    </row>
    <row r="39" customFormat="false" ht="39.75" hidden="false" customHeight="true" outlineLevel="0" collapsed="false">
      <c r="A39" s="46" t="str">
        <f aca="false">IF($A$78="","",$A$78)</f>
        <v>Project 3</v>
      </c>
      <c r="B39" s="45"/>
      <c r="C39" s="45"/>
      <c r="D39" s="45"/>
      <c r="E39" s="45"/>
      <c r="F39" s="45"/>
      <c r="G39" s="45"/>
      <c r="H39" s="45"/>
      <c r="I39" s="45"/>
      <c r="J39" s="45"/>
      <c r="K39" s="45"/>
      <c r="L39" s="45"/>
      <c r="M39" s="45"/>
    </row>
    <row r="40" customFormat="false" ht="39.75" hidden="false" customHeight="true" outlineLevel="0" collapsed="false">
      <c r="A40" s="46" t="str">
        <f aca="false">IF($A$79="","",$A$79)</f>
        <v>Project 4</v>
      </c>
      <c r="B40" s="45"/>
      <c r="C40" s="45"/>
      <c r="D40" s="45"/>
      <c r="E40" s="45"/>
      <c r="F40" s="45"/>
      <c r="G40" s="45"/>
      <c r="H40" s="45"/>
      <c r="I40" s="45"/>
      <c r="J40" s="45"/>
      <c r="K40" s="45"/>
      <c r="L40" s="45"/>
      <c r="M40" s="45"/>
    </row>
    <row r="41" customFormat="false" ht="39.75" hidden="false" customHeight="true" outlineLevel="0" collapsed="false">
      <c r="A41" s="46" t="str">
        <f aca="false">IF($A$80="","",$A$80)</f>
        <v>Project 5</v>
      </c>
      <c r="B41" s="45"/>
      <c r="C41" s="45"/>
      <c r="D41" s="45"/>
      <c r="E41" s="45"/>
      <c r="F41" s="45"/>
      <c r="G41" s="45"/>
      <c r="H41" s="45"/>
      <c r="I41" s="45"/>
      <c r="J41" s="45"/>
      <c r="K41" s="45"/>
      <c r="L41" s="45"/>
      <c r="M41" s="45"/>
    </row>
    <row r="42" customFormat="false" ht="39.75" hidden="false" customHeight="true" outlineLevel="0" collapsed="false">
      <c r="A42" s="46" t="str">
        <f aca="false">IF($A$81="","",$A$81)</f>
        <v>Project 6</v>
      </c>
      <c r="B42" s="45"/>
      <c r="C42" s="45"/>
      <c r="D42" s="45"/>
      <c r="E42" s="45"/>
      <c r="F42" s="45"/>
      <c r="G42" s="45"/>
      <c r="H42" s="45"/>
      <c r="I42" s="45"/>
      <c r="J42" s="45"/>
      <c r="K42" s="45"/>
      <c r="L42" s="45"/>
      <c r="M42" s="45"/>
    </row>
    <row r="43" customFormat="false" ht="39.75" hidden="false" customHeight="true" outlineLevel="0" collapsed="false">
      <c r="A43" s="46" t="str">
        <f aca="false">IF($A$82="","",$A$82)</f>
        <v/>
      </c>
      <c r="B43" s="45"/>
      <c r="C43" s="45"/>
      <c r="D43" s="45"/>
      <c r="E43" s="45"/>
      <c r="F43" s="45"/>
      <c r="G43" s="45"/>
      <c r="H43" s="45"/>
      <c r="I43" s="45"/>
      <c r="J43" s="45"/>
      <c r="K43" s="45"/>
      <c r="L43" s="45"/>
      <c r="M43" s="45"/>
    </row>
    <row r="44" customFormat="false" ht="39.75" hidden="false" customHeight="true" outlineLevel="0" collapsed="false">
      <c r="A44" s="46" t="str">
        <f aca="false">IF($A$83="","",$A$83)</f>
        <v/>
      </c>
      <c r="B44" s="45"/>
      <c r="C44" s="45"/>
      <c r="D44" s="45"/>
      <c r="E44" s="45"/>
      <c r="F44" s="45"/>
      <c r="G44" s="45"/>
      <c r="H44" s="45"/>
      <c r="I44" s="45"/>
      <c r="J44" s="45"/>
      <c r="K44" s="45"/>
      <c r="L44" s="45"/>
      <c r="M44" s="45"/>
    </row>
    <row r="46" customFormat="false" ht="21.75" hidden="false" customHeight="true" outlineLevel="0" collapsed="false">
      <c r="A46" s="3" t="str">
        <f aca="false">"Project performance – current period ("&amp;CurLbl&amp;") – calculated"</f>
        <v>Project performance – current period (P7) – calculated</v>
      </c>
      <c r="B46" s="4"/>
      <c r="C46" s="4"/>
      <c r="D46" s="4"/>
      <c r="E46" s="4"/>
      <c r="F46" s="4"/>
      <c r="G46" s="4"/>
      <c r="H46" s="4"/>
      <c r="I46" s="4"/>
      <c r="J46" s="4"/>
      <c r="K46" s="4"/>
      <c r="L46" s="4"/>
      <c r="M46" s="4"/>
    </row>
    <row r="47" customFormat="false" ht="15" hidden="false" customHeight="false" outlineLevel="0" collapsed="false">
      <c r="A47" s="34" t="s">
        <v>55</v>
      </c>
      <c r="B47" s="35"/>
      <c r="C47" s="35"/>
      <c r="D47" s="35"/>
      <c r="E47" s="35"/>
      <c r="F47" s="35"/>
      <c r="G47" s="35"/>
      <c r="H47" s="35"/>
      <c r="I47" s="35"/>
      <c r="J47" s="35"/>
      <c r="K47" s="35"/>
      <c r="L47" s="35"/>
      <c r="M47" s="35"/>
    </row>
    <row r="48" customFormat="false" ht="30" hidden="false" customHeight="true" outlineLevel="0" collapsed="false">
      <c r="A48" s="36" t="s">
        <v>25</v>
      </c>
      <c r="B48" s="14" t="s">
        <v>42</v>
      </c>
      <c r="C48" s="14"/>
      <c r="D48" s="14" t="s">
        <v>43</v>
      </c>
      <c r="E48" s="14"/>
      <c r="F48" s="14" t="s">
        <v>44</v>
      </c>
      <c r="G48" s="14"/>
      <c r="H48" s="14" t="s">
        <v>45</v>
      </c>
      <c r="I48" s="14"/>
      <c r="J48" s="14" t="s">
        <v>46</v>
      </c>
      <c r="K48" s="14"/>
      <c r="L48" s="14" t="s">
        <v>47</v>
      </c>
      <c r="M48" s="14"/>
    </row>
    <row r="49" customFormat="false" ht="15" hidden="false" customHeight="false" outlineLevel="0" collapsed="false">
      <c r="A49" s="49" t="str">
        <f aca="false">IF($A$76="","",$A$76)</f>
        <v>Project 1</v>
      </c>
      <c r="B49" s="38" t="str">
        <f aca="false">IF($A49="","",IF(N(C76)=0,"N/A",N(B76)/C76))</f>
        <v>N/A</v>
      </c>
      <c r="C49" s="39" t="str">
        <f aca="false">IF(OR($A49="",N(C76)=0),"",N(B76)&amp;"/"&amp;C76)</f>
        <v/>
      </c>
      <c r="D49" s="38" t="str">
        <f aca="false">IF($A49="","",IF(N(E76)=0,"N/A",N(D76)/E76))</f>
        <v>N/A</v>
      </c>
      <c r="E49" s="39" t="str">
        <f aca="false">IF(OR($A49="",N(E76)=0),"",N(D76)&amp;"/"&amp;E76)</f>
        <v/>
      </c>
      <c r="F49" s="38" t="str">
        <f aca="false">IF($A49="","",IF(N(G76)=0,"N/A",N(F76)/G76))</f>
        <v>N/A</v>
      </c>
      <c r="G49" s="39" t="str">
        <f aca="false">IF(OR($A49="",N(G76)=0),"",N(F76)&amp;"/"&amp;G76)</f>
        <v/>
      </c>
      <c r="H49" s="38" t="str">
        <f aca="false">IF($A49="","",IF(N(I76)=0,"N/A",N(H76)/I76))</f>
        <v>N/A</v>
      </c>
      <c r="I49" s="39" t="str">
        <f aca="false">IF(OR($A49="",N(I76)=0),"",N(H76)&amp;"/"&amp;I76)</f>
        <v/>
      </c>
      <c r="J49" s="38" t="str">
        <f aca="false">IF($A49="","",IF(N(K76)=0,"N/A",N(J76)/K76))</f>
        <v>N/A</v>
      </c>
      <c r="K49" s="39" t="str">
        <f aca="false">IF(OR($A49="",N(K76)=0),"",N(J76)&amp;"/"&amp;K76)</f>
        <v/>
      </c>
      <c r="L49" s="38" t="str">
        <f aca="false">IF($A49="","",IF(N(M76)=0,"N/A",N(L76)/M76))</f>
        <v>N/A</v>
      </c>
      <c r="M49" s="39" t="str">
        <f aca="false">IF(OR($A49="",N(M76)=0),"",N(L76)&amp;"/"&amp;M76)</f>
        <v/>
      </c>
    </row>
    <row r="50" customFormat="false" ht="15" hidden="false" customHeight="false" outlineLevel="0" collapsed="false">
      <c r="A50" s="49" t="str">
        <f aca="false">IF($A$77="","",$A$77)</f>
        <v>Project 2</v>
      </c>
      <c r="B50" s="38" t="str">
        <f aca="false">IF($A50="","",IF(N(C77)=0,"N/A",N(B77)/C77))</f>
        <v>N/A</v>
      </c>
      <c r="C50" s="39" t="str">
        <f aca="false">IF(OR($A50="",N(C77)=0),"",N(B77)&amp;"/"&amp;C77)</f>
        <v/>
      </c>
      <c r="D50" s="38" t="str">
        <f aca="false">IF($A50="","",IF(N(E77)=0,"N/A",N(D77)/E77))</f>
        <v>N/A</v>
      </c>
      <c r="E50" s="39" t="str">
        <f aca="false">IF(OR($A50="",N(E77)=0),"",N(D77)&amp;"/"&amp;E77)</f>
        <v/>
      </c>
      <c r="F50" s="38" t="str">
        <f aca="false">IF($A50="","",IF(N(G77)=0,"N/A",N(F77)/G77))</f>
        <v>N/A</v>
      </c>
      <c r="G50" s="39" t="str">
        <f aca="false">IF(OR($A50="",N(G77)=0),"",N(F77)&amp;"/"&amp;G77)</f>
        <v/>
      </c>
      <c r="H50" s="38" t="str">
        <f aca="false">IF($A50="","",IF(N(I77)=0,"N/A",N(H77)/I77))</f>
        <v>N/A</v>
      </c>
      <c r="I50" s="39" t="str">
        <f aca="false">IF(OR($A50="",N(I77)=0),"",N(H77)&amp;"/"&amp;I77)</f>
        <v/>
      </c>
      <c r="J50" s="38" t="str">
        <f aca="false">IF($A50="","",IF(N(K77)=0,"N/A",N(J77)/K77))</f>
        <v>N/A</v>
      </c>
      <c r="K50" s="39" t="str">
        <f aca="false">IF(OR($A50="",N(K77)=0),"",N(J77)&amp;"/"&amp;K77)</f>
        <v/>
      </c>
      <c r="L50" s="38" t="str">
        <f aca="false">IF($A50="","",IF(N(M77)=0,"N/A",N(L77)/M77))</f>
        <v>N/A</v>
      </c>
      <c r="M50" s="39" t="str">
        <f aca="false">IF(OR($A50="",N(M77)=0),"",N(L77)&amp;"/"&amp;M77)</f>
        <v/>
      </c>
    </row>
    <row r="51" customFormat="false" ht="15" hidden="false" customHeight="false" outlineLevel="0" collapsed="false">
      <c r="A51" s="49" t="str">
        <f aca="false">IF($A$78="","",$A$78)</f>
        <v>Project 3</v>
      </c>
      <c r="B51" s="38" t="str">
        <f aca="false">IF($A51="","",IF(N(C78)=0,"N/A",N(B78)/C78))</f>
        <v>N/A</v>
      </c>
      <c r="C51" s="39" t="str">
        <f aca="false">IF(OR($A51="",N(C78)=0),"",N(B78)&amp;"/"&amp;C78)</f>
        <v/>
      </c>
      <c r="D51" s="38" t="str">
        <f aca="false">IF($A51="","",IF(N(E78)=0,"N/A",N(D78)/E78))</f>
        <v>N/A</v>
      </c>
      <c r="E51" s="39" t="str">
        <f aca="false">IF(OR($A51="",N(E78)=0),"",N(D78)&amp;"/"&amp;E78)</f>
        <v/>
      </c>
      <c r="F51" s="38" t="str">
        <f aca="false">IF($A51="","",IF(N(G78)=0,"N/A",N(F78)/G78))</f>
        <v>N/A</v>
      </c>
      <c r="G51" s="39" t="str">
        <f aca="false">IF(OR($A51="",N(G78)=0),"",N(F78)&amp;"/"&amp;G78)</f>
        <v/>
      </c>
      <c r="H51" s="38" t="str">
        <f aca="false">IF($A51="","",IF(N(I78)=0,"N/A",N(H78)/I78))</f>
        <v>N/A</v>
      </c>
      <c r="I51" s="39" t="str">
        <f aca="false">IF(OR($A51="",N(I78)=0),"",N(H78)&amp;"/"&amp;I78)</f>
        <v/>
      </c>
      <c r="J51" s="38" t="str">
        <f aca="false">IF($A51="","",IF(N(K78)=0,"N/A",N(J78)/K78))</f>
        <v>N/A</v>
      </c>
      <c r="K51" s="39" t="str">
        <f aca="false">IF(OR($A51="",N(K78)=0),"",N(J78)&amp;"/"&amp;K78)</f>
        <v/>
      </c>
      <c r="L51" s="38" t="str">
        <f aca="false">IF($A51="","",IF(N(M78)=0,"N/A",N(L78)/M78))</f>
        <v>N/A</v>
      </c>
      <c r="M51" s="39" t="str">
        <f aca="false">IF(OR($A51="",N(M78)=0),"",N(L78)&amp;"/"&amp;M78)</f>
        <v/>
      </c>
    </row>
    <row r="52" customFormat="false" ht="15" hidden="false" customHeight="false" outlineLevel="0" collapsed="false">
      <c r="A52" s="49" t="str">
        <f aca="false">IF($A$79="","",$A$79)</f>
        <v>Project 4</v>
      </c>
      <c r="B52" s="38" t="str">
        <f aca="false">IF($A52="","",IF(N(C79)=0,"N/A",N(B79)/C79))</f>
        <v>N/A</v>
      </c>
      <c r="C52" s="39" t="str">
        <f aca="false">IF(OR($A52="",N(C79)=0),"",N(B79)&amp;"/"&amp;C79)</f>
        <v/>
      </c>
      <c r="D52" s="38" t="str">
        <f aca="false">IF($A52="","",IF(N(E79)=0,"N/A",N(D79)/E79))</f>
        <v>N/A</v>
      </c>
      <c r="E52" s="39" t="str">
        <f aca="false">IF(OR($A52="",N(E79)=0),"",N(D79)&amp;"/"&amp;E79)</f>
        <v/>
      </c>
      <c r="F52" s="38" t="str">
        <f aca="false">IF($A52="","",IF(N(G79)=0,"N/A",N(F79)/G79))</f>
        <v>N/A</v>
      </c>
      <c r="G52" s="39" t="str">
        <f aca="false">IF(OR($A52="",N(G79)=0),"",N(F79)&amp;"/"&amp;G79)</f>
        <v/>
      </c>
      <c r="H52" s="38" t="str">
        <f aca="false">IF($A52="","",IF(N(I79)=0,"N/A",N(H79)/I79))</f>
        <v>N/A</v>
      </c>
      <c r="I52" s="39" t="str">
        <f aca="false">IF(OR($A52="",N(I79)=0),"",N(H79)&amp;"/"&amp;I79)</f>
        <v/>
      </c>
      <c r="J52" s="38" t="str">
        <f aca="false">IF($A52="","",IF(N(K79)=0,"N/A",N(J79)/K79))</f>
        <v>N/A</v>
      </c>
      <c r="K52" s="39" t="str">
        <f aca="false">IF(OR($A52="",N(K79)=0),"",N(J79)&amp;"/"&amp;K79)</f>
        <v/>
      </c>
      <c r="L52" s="38" t="str">
        <f aca="false">IF($A52="","",IF(N(M79)=0,"N/A",N(L79)/M79))</f>
        <v>N/A</v>
      </c>
      <c r="M52" s="39" t="str">
        <f aca="false">IF(OR($A52="",N(M79)=0),"",N(L79)&amp;"/"&amp;M79)</f>
        <v/>
      </c>
    </row>
    <row r="53" customFormat="false" ht="15" hidden="false" customHeight="false" outlineLevel="0" collapsed="false">
      <c r="A53" s="49" t="str">
        <f aca="false">IF($A$80="","",$A$80)</f>
        <v>Project 5</v>
      </c>
      <c r="B53" s="38" t="str">
        <f aca="false">IF($A53="","",IF(N(C80)=0,"N/A",N(B80)/C80))</f>
        <v>N/A</v>
      </c>
      <c r="C53" s="39" t="str">
        <f aca="false">IF(OR($A53="",N(C80)=0),"",N(B80)&amp;"/"&amp;C80)</f>
        <v/>
      </c>
      <c r="D53" s="38" t="str">
        <f aca="false">IF($A53="","",IF(N(E80)=0,"N/A",N(D80)/E80))</f>
        <v>N/A</v>
      </c>
      <c r="E53" s="39" t="str">
        <f aca="false">IF(OR($A53="",N(E80)=0),"",N(D80)&amp;"/"&amp;E80)</f>
        <v/>
      </c>
      <c r="F53" s="38" t="str">
        <f aca="false">IF($A53="","",IF(N(G80)=0,"N/A",N(F80)/G80))</f>
        <v>N/A</v>
      </c>
      <c r="G53" s="39" t="str">
        <f aca="false">IF(OR($A53="",N(G80)=0),"",N(F80)&amp;"/"&amp;G80)</f>
        <v/>
      </c>
      <c r="H53" s="38" t="str">
        <f aca="false">IF($A53="","",IF(N(I80)=0,"N/A",N(H80)/I80))</f>
        <v>N/A</v>
      </c>
      <c r="I53" s="39" t="str">
        <f aca="false">IF(OR($A53="",N(I80)=0),"",N(H80)&amp;"/"&amp;I80)</f>
        <v/>
      </c>
      <c r="J53" s="38" t="str">
        <f aca="false">IF($A53="","",IF(N(K80)=0,"N/A",N(J80)/K80))</f>
        <v>N/A</v>
      </c>
      <c r="K53" s="39" t="str">
        <f aca="false">IF(OR($A53="",N(K80)=0),"",N(J80)&amp;"/"&amp;K80)</f>
        <v/>
      </c>
      <c r="L53" s="38" t="str">
        <f aca="false">IF($A53="","",IF(N(M80)=0,"N/A",N(L80)/M80))</f>
        <v>N/A</v>
      </c>
      <c r="M53" s="39" t="str">
        <f aca="false">IF(OR($A53="",N(M80)=0),"",N(L80)&amp;"/"&amp;M80)</f>
        <v/>
      </c>
    </row>
    <row r="54" customFormat="false" ht="15" hidden="false" customHeight="false" outlineLevel="0" collapsed="false">
      <c r="A54" s="49" t="str">
        <f aca="false">IF($A$81="","",$A$81)</f>
        <v>Project 6</v>
      </c>
      <c r="B54" s="38" t="str">
        <f aca="false">IF($A54="","",IF(N(C81)=0,"N/A",N(B81)/C81))</f>
        <v>N/A</v>
      </c>
      <c r="C54" s="39" t="str">
        <f aca="false">IF(OR($A54="",N(C81)=0),"",N(B81)&amp;"/"&amp;C81)</f>
        <v/>
      </c>
      <c r="D54" s="38" t="str">
        <f aca="false">IF($A54="","",IF(N(E81)=0,"N/A",N(D81)/E81))</f>
        <v>N/A</v>
      </c>
      <c r="E54" s="39" t="str">
        <f aca="false">IF(OR($A54="",N(E81)=0),"",N(D81)&amp;"/"&amp;E81)</f>
        <v/>
      </c>
      <c r="F54" s="38" t="str">
        <f aca="false">IF($A54="","",IF(N(G81)=0,"N/A",N(F81)/G81))</f>
        <v>N/A</v>
      </c>
      <c r="G54" s="39" t="str">
        <f aca="false">IF(OR($A54="",N(G81)=0),"",N(F81)&amp;"/"&amp;G81)</f>
        <v/>
      </c>
      <c r="H54" s="38" t="str">
        <f aca="false">IF($A54="","",IF(N(I81)=0,"N/A",N(H81)/I81))</f>
        <v>N/A</v>
      </c>
      <c r="I54" s="39" t="str">
        <f aca="false">IF(OR($A54="",N(I81)=0),"",N(H81)&amp;"/"&amp;I81)</f>
        <v/>
      </c>
      <c r="J54" s="38" t="str">
        <f aca="false">IF($A54="","",IF(N(K81)=0,"N/A",N(J81)/K81))</f>
        <v>N/A</v>
      </c>
      <c r="K54" s="39" t="str">
        <f aca="false">IF(OR($A54="",N(K81)=0),"",N(J81)&amp;"/"&amp;K81)</f>
        <v/>
      </c>
      <c r="L54" s="38" t="str">
        <f aca="false">IF($A54="","",IF(N(M81)=0,"N/A",N(L81)/M81))</f>
        <v>N/A</v>
      </c>
      <c r="M54" s="39" t="str">
        <f aca="false">IF(OR($A54="",N(M81)=0),"",N(L81)&amp;"/"&amp;M81)</f>
        <v/>
      </c>
    </row>
    <row r="55" customFormat="false" ht="15" hidden="false" customHeight="false" outlineLevel="0" collapsed="false">
      <c r="A55" s="49" t="str">
        <f aca="false">IF($A$82="","",$A$82)</f>
        <v/>
      </c>
      <c r="B55" s="38" t="str">
        <f aca="false">IF($A55="","",IF(N(C82)=0,"N/A",N(B82)/C82))</f>
        <v/>
      </c>
      <c r="C55" s="39" t="str">
        <f aca="false">IF(OR($A55="",N(C82)=0),"",N(B82)&amp;"/"&amp;C82)</f>
        <v/>
      </c>
      <c r="D55" s="38" t="str">
        <f aca="false">IF($A55="","",IF(N(E82)=0,"N/A",N(D82)/E82))</f>
        <v/>
      </c>
      <c r="E55" s="39" t="str">
        <f aca="false">IF(OR($A55="",N(E82)=0),"",N(D82)&amp;"/"&amp;E82)</f>
        <v/>
      </c>
      <c r="F55" s="38" t="str">
        <f aca="false">IF($A55="","",IF(N(G82)=0,"N/A",N(F82)/G82))</f>
        <v/>
      </c>
      <c r="G55" s="39" t="str">
        <f aca="false">IF(OR($A55="",N(G82)=0),"",N(F82)&amp;"/"&amp;G82)</f>
        <v/>
      </c>
      <c r="H55" s="38" t="str">
        <f aca="false">IF($A55="","",IF(N(I82)=0,"N/A",N(H82)/I82))</f>
        <v/>
      </c>
      <c r="I55" s="39" t="str">
        <f aca="false">IF(OR($A55="",N(I82)=0),"",N(H82)&amp;"/"&amp;I82)</f>
        <v/>
      </c>
      <c r="J55" s="38" t="str">
        <f aca="false">IF($A55="","",IF(N(K82)=0,"N/A",N(J82)/K82))</f>
        <v/>
      </c>
      <c r="K55" s="39" t="str">
        <f aca="false">IF(OR($A55="",N(K82)=0),"",N(J82)&amp;"/"&amp;K82)</f>
        <v/>
      </c>
      <c r="L55" s="38" t="str">
        <f aca="false">IF($A55="","",IF(N(M82)=0,"N/A",N(L82)/M82))</f>
        <v/>
      </c>
      <c r="M55" s="39" t="str">
        <f aca="false">IF(OR($A55="",N(M82)=0),"",N(L82)&amp;"/"&amp;M82)</f>
        <v/>
      </c>
    </row>
    <row r="56" customFormat="false" ht="15" hidden="false" customHeight="false" outlineLevel="0" collapsed="false">
      <c r="A56" s="49" t="str">
        <f aca="false">IF($A$83="","",$A$83)</f>
        <v/>
      </c>
      <c r="B56" s="38" t="str">
        <f aca="false">IF($A56="","",IF(N(C83)=0,"N/A",N(B83)/C83))</f>
        <v/>
      </c>
      <c r="C56" s="39" t="str">
        <f aca="false">IF(OR($A56="",N(C83)=0),"",N(B83)&amp;"/"&amp;C83)</f>
        <v/>
      </c>
      <c r="D56" s="38" t="str">
        <f aca="false">IF($A56="","",IF(N(E83)=0,"N/A",N(D83)/E83))</f>
        <v/>
      </c>
      <c r="E56" s="39" t="str">
        <f aca="false">IF(OR($A56="",N(E83)=0),"",N(D83)&amp;"/"&amp;E83)</f>
        <v/>
      </c>
      <c r="F56" s="38" t="str">
        <f aca="false">IF($A56="","",IF(N(G83)=0,"N/A",N(F83)/G83))</f>
        <v/>
      </c>
      <c r="G56" s="39" t="str">
        <f aca="false">IF(OR($A56="",N(G83)=0),"",N(F83)&amp;"/"&amp;G83)</f>
        <v/>
      </c>
      <c r="H56" s="38" t="str">
        <f aca="false">IF($A56="","",IF(N(I83)=0,"N/A",N(H83)/I83))</f>
        <v/>
      </c>
      <c r="I56" s="39" t="str">
        <f aca="false">IF(OR($A56="",N(I83)=0),"",N(H83)&amp;"/"&amp;I83)</f>
        <v/>
      </c>
      <c r="J56" s="38" t="str">
        <f aca="false">IF($A56="","",IF(N(K83)=0,"N/A",N(J83)/K83))</f>
        <v/>
      </c>
      <c r="K56" s="39" t="str">
        <f aca="false">IF(OR($A56="",N(K83)=0),"",N(J83)&amp;"/"&amp;K83)</f>
        <v/>
      </c>
      <c r="L56" s="38" t="str">
        <f aca="false">IF($A56="","",IF(N(M83)=0,"N/A",N(L83)/M83))</f>
        <v/>
      </c>
      <c r="M56" s="39" t="str">
        <f aca="false">IF(OR($A56="",N(M83)=0),"",N(L83)&amp;"/"&amp;M83)</f>
        <v/>
      </c>
    </row>
    <row r="57" customFormat="false" ht="15" hidden="false" customHeight="false" outlineLevel="0" collapsed="false">
      <c r="A57" s="40" t="s">
        <v>103</v>
      </c>
      <c r="B57" s="38" t="str">
        <f aca="false">IF($A57="","",IF(N(C84)=0,"N/A",N(B84)/C84))</f>
        <v>N/A</v>
      </c>
      <c r="C57" s="39" t="str">
        <f aca="false">IF(OR($A57="",N(C84)=0),"",N(B84)&amp;"/"&amp;C84)</f>
        <v/>
      </c>
      <c r="D57" s="38" t="str">
        <f aca="false">IF($A57="","",IF(N(E84)=0,"N/A",N(D84)/E84))</f>
        <v>N/A</v>
      </c>
      <c r="E57" s="39" t="str">
        <f aca="false">IF(OR($A57="",N(E84)=0),"",N(D84)&amp;"/"&amp;E84)</f>
        <v/>
      </c>
      <c r="F57" s="38" t="str">
        <f aca="false">IF($A57="","",IF(N(G84)=0,"N/A",N(F84)/G84))</f>
        <v>N/A</v>
      </c>
      <c r="G57" s="39" t="str">
        <f aca="false">IF(OR($A57="",N(G84)=0),"",N(F84)&amp;"/"&amp;G84)</f>
        <v/>
      </c>
      <c r="H57" s="38" t="str">
        <f aca="false">IF($A57="","",IF(N(I84)=0,"N/A",N(H84)/I84))</f>
        <v>N/A</v>
      </c>
      <c r="I57" s="39" t="str">
        <f aca="false">IF(OR($A57="",N(I84)=0),"",N(H84)&amp;"/"&amp;I84)</f>
        <v/>
      </c>
      <c r="J57" s="38" t="str">
        <f aca="false">IF($A57="","",IF(N(K84)=0,"N/A",N(J84)/K84))</f>
        <v>N/A</v>
      </c>
      <c r="K57" s="39" t="str">
        <f aca="false">IF(OR($A57="",N(K84)=0),"",N(J84)&amp;"/"&amp;K84)</f>
        <v/>
      </c>
      <c r="L57" s="38" t="str">
        <f aca="false">IF($A57="","",IF(N(M84)=0,"N/A",N(L84)/M84))</f>
        <v>N/A</v>
      </c>
      <c r="M57" s="39" t="str">
        <f aca="false">IF(OR($A57="",N(M84)=0),"",N(L84)&amp;"/"&amp;M84)</f>
        <v/>
      </c>
    </row>
    <row r="58" customFormat="false" ht="15" hidden="false" customHeight="false" outlineLevel="0" collapsed="false">
      <c r="A58" s="34" t="s">
        <v>49</v>
      </c>
      <c r="B58" s="35"/>
      <c r="C58" s="35"/>
      <c r="D58" s="35"/>
      <c r="E58" s="35"/>
      <c r="F58" s="35"/>
      <c r="G58" s="35"/>
      <c r="H58" s="35"/>
      <c r="I58" s="35"/>
      <c r="J58" s="35"/>
      <c r="K58" s="35"/>
      <c r="L58" s="35"/>
      <c r="M58" s="35"/>
    </row>
    <row r="59" customFormat="false" ht="30" hidden="false" customHeight="true" outlineLevel="0" collapsed="false">
      <c r="A59" s="36" t="s">
        <v>25</v>
      </c>
      <c r="B59" s="14" t="s">
        <v>50</v>
      </c>
      <c r="C59" s="14"/>
      <c r="D59" s="14" t="s">
        <v>51</v>
      </c>
      <c r="E59" s="14"/>
      <c r="F59" s="14" t="s">
        <v>52</v>
      </c>
      <c r="G59" s="14"/>
      <c r="H59" s="14" t="s">
        <v>53</v>
      </c>
      <c r="I59" s="14"/>
    </row>
    <row r="60" customFormat="false" ht="15" hidden="false" customHeight="false" outlineLevel="0" collapsed="false">
      <c r="A60" s="49" t="str">
        <f aca="false">IF($A$76="","",$A$76)</f>
        <v>Project 1</v>
      </c>
      <c r="B60" s="41" t="str">
        <f aca="false">IF($A60="","",IF(ISNUMBER(B102),B102,"N/A"))</f>
        <v>N/A</v>
      </c>
      <c r="C60" s="41"/>
      <c r="D60" s="38" t="str">
        <f aca="false">IF($A60="","",IF(N(E102)=0,"N/A",N(D102)/E102))</f>
        <v>N/A</v>
      </c>
      <c r="E60" s="39" t="str">
        <f aca="false">IF(OR($A60="",N(E102)=0),"",N(D102)&amp;"/"&amp;E102)</f>
        <v/>
      </c>
      <c r="F60" s="38" t="str">
        <f aca="false">IF($A60="","",IF(N(G102)=0,"N/A",N(F102)/G102))</f>
        <v>N/A</v>
      </c>
      <c r="G60" s="39" t="str">
        <f aca="false">IF(OR($A60="",N(G102)=0),"",N(F102)&amp;"/"&amp;G102)</f>
        <v/>
      </c>
      <c r="H60" s="38" t="str">
        <f aca="false">IF($A60="","",IF(N(I102)=0,"N/A",N(H102)/I102))</f>
        <v>N/A</v>
      </c>
      <c r="I60" s="39" t="str">
        <f aca="false">IF(OR($A60="",N(I102)=0),"",N(H102)&amp;"/"&amp;I102)</f>
        <v/>
      </c>
    </row>
    <row r="61" customFormat="false" ht="15" hidden="false" customHeight="false" outlineLevel="0" collapsed="false">
      <c r="A61" s="49" t="str">
        <f aca="false">IF($A$77="","",$A$77)</f>
        <v>Project 2</v>
      </c>
      <c r="B61" s="41" t="str">
        <f aca="false">IF($A61="","",IF(ISNUMBER(B103),B103,"N/A"))</f>
        <v>N/A</v>
      </c>
      <c r="C61" s="41"/>
      <c r="D61" s="38" t="str">
        <f aca="false">IF($A61="","",IF(N(E103)=0,"N/A",N(D103)/E103))</f>
        <v>N/A</v>
      </c>
      <c r="E61" s="39" t="str">
        <f aca="false">IF(OR($A61="",N(E103)=0),"",N(D103)&amp;"/"&amp;E103)</f>
        <v/>
      </c>
      <c r="F61" s="38" t="str">
        <f aca="false">IF($A61="","",IF(N(G103)=0,"N/A",N(F103)/G103))</f>
        <v>N/A</v>
      </c>
      <c r="G61" s="39" t="str">
        <f aca="false">IF(OR($A61="",N(G103)=0),"",N(F103)&amp;"/"&amp;G103)</f>
        <v/>
      </c>
      <c r="H61" s="38" t="str">
        <f aca="false">IF($A61="","",IF(N(I103)=0,"N/A",N(H103)/I103))</f>
        <v>N/A</v>
      </c>
      <c r="I61" s="39" t="str">
        <f aca="false">IF(OR($A61="",N(I103)=0),"",N(H103)&amp;"/"&amp;I103)</f>
        <v/>
      </c>
    </row>
    <row r="62" customFormat="false" ht="15" hidden="false" customHeight="false" outlineLevel="0" collapsed="false">
      <c r="A62" s="49" t="str">
        <f aca="false">IF($A$78="","",$A$78)</f>
        <v>Project 3</v>
      </c>
      <c r="B62" s="41" t="str">
        <f aca="false">IF($A62="","",IF(ISNUMBER(B104),B104,"N/A"))</f>
        <v>N/A</v>
      </c>
      <c r="C62" s="41"/>
      <c r="D62" s="38" t="str">
        <f aca="false">IF($A62="","",IF(N(E104)=0,"N/A",N(D104)/E104))</f>
        <v>N/A</v>
      </c>
      <c r="E62" s="39" t="str">
        <f aca="false">IF(OR($A62="",N(E104)=0),"",N(D104)&amp;"/"&amp;E104)</f>
        <v/>
      </c>
      <c r="F62" s="38" t="str">
        <f aca="false">IF($A62="","",IF(N(G104)=0,"N/A",N(F104)/G104))</f>
        <v>N/A</v>
      </c>
      <c r="G62" s="39" t="str">
        <f aca="false">IF(OR($A62="",N(G104)=0),"",N(F104)&amp;"/"&amp;G104)</f>
        <v/>
      </c>
      <c r="H62" s="38" t="str">
        <f aca="false">IF($A62="","",IF(N(I104)=0,"N/A",N(H104)/I104))</f>
        <v>N/A</v>
      </c>
      <c r="I62" s="39" t="str">
        <f aca="false">IF(OR($A62="",N(I104)=0),"",N(H104)&amp;"/"&amp;I104)</f>
        <v/>
      </c>
    </row>
    <row r="63" customFormat="false" ht="15" hidden="false" customHeight="false" outlineLevel="0" collapsed="false">
      <c r="A63" s="49" t="str">
        <f aca="false">IF($A$79="","",$A$79)</f>
        <v>Project 4</v>
      </c>
      <c r="B63" s="41" t="str">
        <f aca="false">IF($A63="","",IF(ISNUMBER(B105),B105,"N/A"))</f>
        <v>N/A</v>
      </c>
      <c r="C63" s="41"/>
      <c r="D63" s="38" t="str">
        <f aca="false">IF($A63="","",IF(N(E105)=0,"N/A",N(D105)/E105))</f>
        <v>N/A</v>
      </c>
      <c r="E63" s="39" t="str">
        <f aca="false">IF(OR($A63="",N(E105)=0),"",N(D105)&amp;"/"&amp;E105)</f>
        <v/>
      </c>
      <c r="F63" s="38" t="str">
        <f aca="false">IF($A63="","",IF(N(G105)=0,"N/A",N(F105)/G105))</f>
        <v>N/A</v>
      </c>
      <c r="G63" s="39" t="str">
        <f aca="false">IF(OR($A63="",N(G105)=0),"",N(F105)&amp;"/"&amp;G105)</f>
        <v/>
      </c>
      <c r="H63" s="38" t="str">
        <f aca="false">IF($A63="","",IF(N(I105)=0,"N/A",N(H105)/I105))</f>
        <v>N/A</v>
      </c>
      <c r="I63" s="39" t="str">
        <f aca="false">IF(OR($A63="",N(I105)=0),"",N(H105)&amp;"/"&amp;I105)</f>
        <v/>
      </c>
    </row>
    <row r="64" customFormat="false" ht="15" hidden="false" customHeight="false" outlineLevel="0" collapsed="false">
      <c r="A64" s="49" t="str">
        <f aca="false">IF($A$80="","",$A$80)</f>
        <v>Project 5</v>
      </c>
      <c r="B64" s="41" t="str">
        <f aca="false">IF($A64="","",IF(ISNUMBER(B106),B106,"N/A"))</f>
        <v>N/A</v>
      </c>
      <c r="C64" s="41"/>
      <c r="D64" s="38" t="str">
        <f aca="false">IF($A64="","",IF(N(E106)=0,"N/A",N(D106)/E106))</f>
        <v>N/A</v>
      </c>
      <c r="E64" s="39" t="str">
        <f aca="false">IF(OR($A64="",N(E106)=0),"",N(D106)&amp;"/"&amp;E106)</f>
        <v/>
      </c>
      <c r="F64" s="38" t="str">
        <f aca="false">IF($A64="","",IF(N(G106)=0,"N/A",N(F106)/G106))</f>
        <v>N/A</v>
      </c>
      <c r="G64" s="39" t="str">
        <f aca="false">IF(OR($A64="",N(G106)=0),"",N(F106)&amp;"/"&amp;G106)</f>
        <v/>
      </c>
      <c r="H64" s="38" t="str">
        <f aca="false">IF($A64="","",IF(N(I106)=0,"N/A",N(H106)/I106))</f>
        <v>N/A</v>
      </c>
      <c r="I64" s="39" t="str">
        <f aca="false">IF(OR($A64="",N(I106)=0),"",N(H106)&amp;"/"&amp;I106)</f>
        <v/>
      </c>
    </row>
    <row r="65" customFormat="false" ht="15" hidden="false" customHeight="false" outlineLevel="0" collapsed="false">
      <c r="A65" s="49" t="str">
        <f aca="false">IF($A$81="","",$A$81)</f>
        <v>Project 6</v>
      </c>
      <c r="B65" s="41" t="str">
        <f aca="false">IF($A65="","",IF(ISNUMBER(B107),B107,"N/A"))</f>
        <v>N/A</v>
      </c>
      <c r="C65" s="41"/>
      <c r="D65" s="38" t="str">
        <f aca="false">IF($A65="","",IF(N(E107)=0,"N/A",N(D107)/E107))</f>
        <v>N/A</v>
      </c>
      <c r="E65" s="39" t="str">
        <f aca="false">IF(OR($A65="",N(E107)=0),"",N(D107)&amp;"/"&amp;E107)</f>
        <v/>
      </c>
      <c r="F65" s="38" t="str">
        <f aca="false">IF($A65="","",IF(N(G107)=0,"N/A",N(F107)/G107))</f>
        <v>N/A</v>
      </c>
      <c r="G65" s="39" t="str">
        <f aca="false">IF(OR($A65="",N(G107)=0),"",N(F107)&amp;"/"&amp;G107)</f>
        <v/>
      </c>
      <c r="H65" s="38" t="str">
        <f aca="false">IF($A65="","",IF(N(I107)=0,"N/A",N(H107)/I107))</f>
        <v>N/A</v>
      </c>
      <c r="I65" s="39" t="str">
        <f aca="false">IF(OR($A65="",N(I107)=0),"",N(H107)&amp;"/"&amp;I107)</f>
        <v/>
      </c>
    </row>
    <row r="66" customFormat="false" ht="15" hidden="false" customHeight="false" outlineLevel="0" collapsed="false">
      <c r="A66" s="49" t="str">
        <f aca="false">IF($A$82="","",$A$82)</f>
        <v/>
      </c>
      <c r="B66" s="41" t="str">
        <f aca="false">IF($A66="","",IF(ISNUMBER(B108),B108,"N/A"))</f>
        <v/>
      </c>
      <c r="C66" s="41"/>
      <c r="D66" s="38" t="str">
        <f aca="false">IF($A66="","",IF(N(E108)=0,"N/A",N(D108)/E108))</f>
        <v/>
      </c>
      <c r="E66" s="39" t="str">
        <f aca="false">IF(OR($A66="",N(E108)=0),"",N(D108)&amp;"/"&amp;E108)</f>
        <v/>
      </c>
      <c r="F66" s="38" t="str">
        <f aca="false">IF($A66="","",IF(N(G108)=0,"N/A",N(F108)/G108))</f>
        <v/>
      </c>
      <c r="G66" s="39" t="str">
        <f aca="false">IF(OR($A66="",N(G108)=0),"",N(F108)&amp;"/"&amp;G108)</f>
        <v/>
      </c>
      <c r="H66" s="38" t="str">
        <f aca="false">IF($A66="","",IF(N(I108)=0,"N/A",N(H108)/I108))</f>
        <v/>
      </c>
      <c r="I66" s="39" t="str">
        <f aca="false">IF(OR($A66="",N(I108)=0),"",N(H108)&amp;"/"&amp;I108)</f>
        <v/>
      </c>
    </row>
    <row r="67" customFormat="false" ht="15" hidden="false" customHeight="false" outlineLevel="0" collapsed="false">
      <c r="A67" s="49" t="str">
        <f aca="false">IF($A$83="","",$A$83)</f>
        <v/>
      </c>
      <c r="B67" s="41" t="str">
        <f aca="false">IF($A67="","",IF(ISNUMBER(B109),B109,"N/A"))</f>
        <v/>
      </c>
      <c r="C67" s="41"/>
      <c r="D67" s="38" t="str">
        <f aca="false">IF($A67="","",IF(N(E109)=0,"N/A",N(D109)/E109))</f>
        <v/>
      </c>
      <c r="E67" s="39" t="str">
        <f aca="false">IF(OR($A67="",N(E109)=0),"",N(D109)&amp;"/"&amp;E109)</f>
        <v/>
      </c>
      <c r="F67" s="38" t="str">
        <f aca="false">IF($A67="","",IF(N(G109)=0,"N/A",N(F109)/G109))</f>
        <v/>
      </c>
      <c r="G67" s="39" t="str">
        <f aca="false">IF(OR($A67="",N(G109)=0),"",N(F109)&amp;"/"&amp;G109)</f>
        <v/>
      </c>
      <c r="H67" s="38" t="str">
        <f aca="false">IF($A67="","",IF(N(I109)=0,"N/A",N(H109)/I109))</f>
        <v/>
      </c>
      <c r="I67" s="39" t="str">
        <f aca="false">IF(OR($A67="",N(I109)=0),"",N(H109)&amp;"/"&amp;I109)</f>
        <v/>
      </c>
    </row>
    <row r="68" customFormat="false" ht="15" hidden="false" customHeight="false" outlineLevel="0" collapsed="false">
      <c r="A68" s="40" t="s">
        <v>103</v>
      </c>
      <c r="B68" s="41" t="str">
        <f aca="false">IF($A68="","",IF(ISNUMBER(B110),B110,"N/A"))</f>
        <v>N/A</v>
      </c>
      <c r="C68" s="41"/>
      <c r="D68" s="38" t="str">
        <f aca="false">IF($A68="","",IF(N(E110)=0,"N/A",N(D110)/E110))</f>
        <v>N/A</v>
      </c>
      <c r="E68" s="39" t="str">
        <f aca="false">IF(OR($A68="",N(E110)=0),"",N(D110)&amp;"/"&amp;E110)</f>
        <v/>
      </c>
      <c r="F68" s="38" t="str">
        <f aca="false">IF($A68="","",IF(N(G110)=0,"N/A",N(F110)/G110))</f>
        <v>N/A</v>
      </c>
      <c r="G68" s="39" t="str">
        <f aca="false">IF(OR($A68="",N(G110)=0),"",N(F110)&amp;"/"&amp;G110)</f>
        <v/>
      </c>
      <c r="H68" s="38" t="str">
        <f aca="false">IF($A68="","",IF(N(I110)=0,"N/A",N(H110)/I110))</f>
        <v>N/A</v>
      </c>
      <c r="I68" s="39" t="str">
        <f aca="false">IF(OR($A68="",N(I110)=0),"",N(H110)&amp;"/"&amp;I110)</f>
        <v/>
      </c>
    </row>
    <row r="70" customFormat="false" ht="21.75" hidden="false" customHeight="true" outlineLevel="0" collapsed="false">
      <c r="A70" s="3" t="s">
        <v>93</v>
      </c>
      <c r="B70" s="4"/>
      <c r="C70" s="4"/>
      <c r="D70" s="4"/>
      <c r="E70" s="4"/>
      <c r="F70" s="4"/>
      <c r="G70" s="4"/>
      <c r="H70" s="4"/>
      <c r="I70" s="4"/>
      <c r="J70" s="4"/>
      <c r="K70" s="4"/>
      <c r="L70" s="4"/>
      <c r="M70" s="4"/>
    </row>
    <row r="71" customFormat="false" ht="25.5" hidden="false" customHeight="true" outlineLevel="0" collapsed="false">
      <c r="A71" s="16" t="s">
        <v>94</v>
      </c>
      <c r="B71" s="16"/>
      <c r="C71" s="16"/>
      <c r="D71" s="16"/>
      <c r="E71" s="16"/>
      <c r="F71" s="16"/>
      <c r="G71" s="16"/>
      <c r="H71" s="16"/>
      <c r="I71" s="16"/>
      <c r="J71" s="16"/>
      <c r="K71" s="16"/>
      <c r="L71" s="16"/>
      <c r="M71" s="16"/>
    </row>
    <row r="73" customFormat="false" ht="15" hidden="false" customHeight="false" outlineLevel="0" collapsed="false">
      <c r="A73" s="34" t="str">
        <f aca="false">"PowerBI data – current period ("&amp;CurLbl&amp;")"</f>
        <v>PowerBI data – current period (P7)</v>
      </c>
      <c r="B73" s="35"/>
      <c r="C73" s="35"/>
      <c r="D73" s="35"/>
      <c r="E73" s="35"/>
      <c r="F73" s="35"/>
      <c r="G73" s="35"/>
      <c r="H73" s="35"/>
      <c r="I73" s="35"/>
      <c r="J73" s="35"/>
      <c r="K73" s="35"/>
      <c r="L73" s="35"/>
      <c r="M73" s="35"/>
    </row>
    <row r="74" customFormat="false" ht="30" hidden="false" customHeight="true" outlineLevel="0" collapsed="false">
      <c r="A74" s="36" t="s">
        <v>25</v>
      </c>
      <c r="B74" s="14" t="s">
        <v>42</v>
      </c>
      <c r="C74" s="14"/>
      <c r="D74" s="14" t="s">
        <v>43</v>
      </c>
      <c r="E74" s="14"/>
      <c r="F74" s="14" t="s">
        <v>44</v>
      </c>
      <c r="G74" s="14"/>
      <c r="H74" s="14" t="s">
        <v>45</v>
      </c>
      <c r="I74" s="14"/>
      <c r="J74" s="14" t="s">
        <v>46</v>
      </c>
      <c r="K74" s="14"/>
      <c r="L74" s="14" t="s">
        <v>47</v>
      </c>
      <c r="M74" s="14"/>
    </row>
    <row r="75" customFormat="false" ht="15" hidden="false" customHeight="false" outlineLevel="0" collapsed="false">
      <c r="A75" s="36"/>
      <c r="B75" s="48" t="s">
        <v>81</v>
      </c>
      <c r="C75" s="48" t="s">
        <v>82</v>
      </c>
      <c r="D75" s="48" t="s">
        <v>81</v>
      </c>
      <c r="E75" s="48" t="s">
        <v>82</v>
      </c>
      <c r="F75" s="48" t="s">
        <v>81</v>
      </c>
      <c r="G75" s="48" t="s">
        <v>82</v>
      </c>
      <c r="H75" s="48" t="s">
        <v>81</v>
      </c>
      <c r="I75" s="48" t="s">
        <v>82</v>
      </c>
      <c r="J75" s="48" t="s">
        <v>81</v>
      </c>
      <c r="K75" s="48" t="s">
        <v>82</v>
      </c>
      <c r="L75" s="48" t="s">
        <v>81</v>
      </c>
      <c r="M75" s="48" t="s">
        <v>82</v>
      </c>
    </row>
    <row r="76" customFormat="false" ht="15" hidden="false" customHeight="false" outlineLevel="0" collapsed="false">
      <c r="A76" s="53" t="s">
        <v>104</v>
      </c>
      <c r="B76" s="54"/>
      <c r="C76" s="54"/>
      <c r="D76" s="54"/>
      <c r="E76" s="54"/>
      <c r="F76" s="54"/>
      <c r="G76" s="54"/>
      <c r="H76" s="54"/>
      <c r="I76" s="54"/>
      <c r="J76" s="54"/>
      <c r="K76" s="54"/>
      <c r="L76" s="54"/>
      <c r="M76" s="54"/>
    </row>
    <row r="77" customFormat="false" ht="15" hidden="false" customHeight="false" outlineLevel="0" collapsed="false">
      <c r="A77" s="53" t="s">
        <v>105</v>
      </c>
      <c r="B77" s="54"/>
      <c r="C77" s="54"/>
      <c r="D77" s="54"/>
      <c r="E77" s="54"/>
      <c r="F77" s="54"/>
      <c r="G77" s="54"/>
      <c r="H77" s="54"/>
      <c r="I77" s="54"/>
      <c r="J77" s="54"/>
      <c r="K77" s="54"/>
      <c r="L77" s="54"/>
      <c r="M77" s="54"/>
    </row>
    <row r="78" customFormat="false" ht="15" hidden="false" customHeight="false" outlineLevel="0" collapsed="false">
      <c r="A78" s="53" t="s">
        <v>106</v>
      </c>
      <c r="B78" s="54"/>
      <c r="C78" s="54"/>
      <c r="D78" s="54"/>
      <c r="E78" s="54"/>
      <c r="F78" s="54"/>
      <c r="G78" s="54"/>
      <c r="H78" s="54"/>
      <c r="I78" s="54"/>
      <c r="J78" s="54"/>
      <c r="K78" s="54"/>
      <c r="L78" s="54"/>
      <c r="M78" s="54"/>
    </row>
    <row r="79" customFormat="false" ht="15" hidden="false" customHeight="false" outlineLevel="0" collapsed="false">
      <c r="A79" s="53" t="s">
        <v>107</v>
      </c>
      <c r="B79" s="54"/>
      <c r="C79" s="54"/>
      <c r="D79" s="54"/>
      <c r="E79" s="54"/>
      <c r="F79" s="54"/>
      <c r="G79" s="54"/>
      <c r="H79" s="54"/>
      <c r="I79" s="54"/>
      <c r="J79" s="54"/>
      <c r="K79" s="54"/>
      <c r="L79" s="54"/>
      <c r="M79" s="54"/>
    </row>
    <row r="80" customFormat="false" ht="15" hidden="false" customHeight="false" outlineLevel="0" collapsed="false">
      <c r="A80" s="53" t="s">
        <v>108</v>
      </c>
      <c r="B80" s="54"/>
      <c r="C80" s="54"/>
      <c r="D80" s="54"/>
      <c r="E80" s="54"/>
      <c r="F80" s="54"/>
      <c r="G80" s="54"/>
      <c r="H80" s="54"/>
      <c r="I80" s="54"/>
      <c r="J80" s="54"/>
      <c r="K80" s="54"/>
      <c r="L80" s="54"/>
      <c r="M80" s="54"/>
    </row>
    <row r="81" customFormat="false" ht="15" hidden="false" customHeight="false" outlineLevel="0" collapsed="false">
      <c r="A81" s="53" t="s">
        <v>109</v>
      </c>
      <c r="B81" s="54"/>
      <c r="C81" s="54"/>
      <c r="D81" s="54"/>
      <c r="E81" s="54"/>
      <c r="F81" s="54"/>
      <c r="G81" s="54"/>
      <c r="H81" s="54"/>
      <c r="I81" s="54"/>
      <c r="J81" s="54"/>
      <c r="K81" s="54"/>
      <c r="L81" s="54"/>
      <c r="M81" s="54"/>
    </row>
    <row r="82" customFormat="false" ht="15" hidden="false" customHeight="false" outlineLevel="0" collapsed="false">
      <c r="A82" s="53"/>
      <c r="B82" s="54"/>
      <c r="C82" s="54"/>
      <c r="D82" s="54"/>
      <c r="E82" s="54"/>
      <c r="F82" s="54"/>
      <c r="G82" s="54"/>
      <c r="H82" s="54"/>
      <c r="I82" s="54"/>
      <c r="J82" s="54"/>
      <c r="K82" s="54"/>
      <c r="L82" s="54"/>
      <c r="M82" s="54"/>
    </row>
    <row r="83" customFormat="false" ht="15" hidden="false" customHeight="false" outlineLevel="0" collapsed="false">
      <c r="A83" s="53"/>
      <c r="B83" s="54"/>
      <c r="C83" s="54"/>
      <c r="D83" s="54"/>
      <c r="E83" s="54"/>
      <c r="F83" s="54"/>
      <c r="G83" s="54"/>
      <c r="H83" s="54"/>
      <c r="I83" s="54"/>
      <c r="J83" s="54"/>
      <c r="K83" s="54"/>
      <c r="L83" s="54"/>
      <c r="M83" s="54"/>
    </row>
    <row r="84" customFormat="false" ht="15" hidden="false" customHeight="false" outlineLevel="0" collapsed="false">
      <c r="A84" s="40" t="s">
        <v>103</v>
      </c>
      <c r="B84" s="51" t="n">
        <f aca="false">SUM(B76:B83)</f>
        <v>0</v>
      </c>
      <c r="C84" s="51" t="n">
        <f aca="false">SUM(C76:C83)</f>
        <v>0</v>
      </c>
      <c r="D84" s="51" t="n">
        <f aca="false">SUM(D76:D83)</f>
        <v>0</v>
      </c>
      <c r="E84" s="51" t="n">
        <f aca="false">SUM(E76:E83)</f>
        <v>0</v>
      </c>
      <c r="F84" s="51" t="n">
        <f aca="false">SUM(F76:F83)</f>
        <v>0</v>
      </c>
      <c r="G84" s="51" t="n">
        <f aca="false">SUM(G76:G83)</f>
        <v>0</v>
      </c>
      <c r="H84" s="51" t="n">
        <f aca="false">SUM(H76:H83)</f>
        <v>0</v>
      </c>
      <c r="I84" s="51" t="n">
        <f aca="false">SUM(I76:I83)</f>
        <v>0</v>
      </c>
      <c r="J84" s="51" t="n">
        <f aca="false">SUM(J76:J83)</f>
        <v>0</v>
      </c>
      <c r="K84" s="51" t="n">
        <f aca="false">SUM(K76:K83)</f>
        <v>0</v>
      </c>
      <c r="L84" s="51" t="n">
        <f aca="false">SUM(L76:L83)</f>
        <v>0</v>
      </c>
      <c r="M84" s="51" t="n">
        <f aca="false">SUM(M76:M83)</f>
        <v>0</v>
      </c>
    </row>
    <row r="86" customFormat="false" ht="15" hidden="false" customHeight="false" outlineLevel="0" collapsed="false">
      <c r="A86" s="34" t="str">
        <f aca="false">"PowerBI data – previous period ("&amp;PrevLbl&amp;")"</f>
        <v>PowerBI data – previous period (P6)</v>
      </c>
      <c r="B86" s="35"/>
      <c r="C86" s="35"/>
      <c r="D86" s="35"/>
      <c r="E86" s="35"/>
      <c r="F86" s="35"/>
      <c r="G86" s="35"/>
      <c r="H86" s="35"/>
      <c r="I86" s="35"/>
      <c r="J86" s="35"/>
      <c r="K86" s="35"/>
      <c r="L86" s="35"/>
      <c r="M86" s="35"/>
    </row>
    <row r="87" customFormat="false" ht="30" hidden="false" customHeight="true" outlineLevel="0" collapsed="false">
      <c r="A87" s="36" t="s">
        <v>25</v>
      </c>
      <c r="B87" s="14" t="s">
        <v>42</v>
      </c>
      <c r="C87" s="14"/>
      <c r="D87" s="14" t="s">
        <v>43</v>
      </c>
      <c r="E87" s="14"/>
      <c r="F87" s="14" t="s">
        <v>44</v>
      </c>
      <c r="G87" s="14"/>
      <c r="H87" s="14" t="s">
        <v>45</v>
      </c>
      <c r="I87" s="14"/>
      <c r="J87" s="14" t="s">
        <v>46</v>
      </c>
      <c r="K87" s="14"/>
      <c r="L87" s="14" t="s">
        <v>47</v>
      </c>
      <c r="M87" s="14"/>
    </row>
    <row r="88" customFormat="false" ht="15" hidden="false" customHeight="false" outlineLevel="0" collapsed="false">
      <c r="A88" s="36"/>
      <c r="B88" s="48" t="s">
        <v>81</v>
      </c>
      <c r="C88" s="48" t="s">
        <v>82</v>
      </c>
      <c r="D88" s="48" t="s">
        <v>81</v>
      </c>
      <c r="E88" s="48" t="s">
        <v>82</v>
      </c>
      <c r="F88" s="48" t="s">
        <v>81</v>
      </c>
      <c r="G88" s="48" t="s">
        <v>82</v>
      </c>
      <c r="H88" s="48" t="s">
        <v>81</v>
      </c>
      <c r="I88" s="48" t="s">
        <v>82</v>
      </c>
      <c r="J88" s="48" t="s">
        <v>81</v>
      </c>
      <c r="K88" s="48" t="s">
        <v>82</v>
      </c>
      <c r="L88" s="48" t="s">
        <v>81</v>
      </c>
      <c r="M88" s="48" t="s">
        <v>82</v>
      </c>
    </row>
    <row r="89" customFormat="false" ht="15" hidden="false" customHeight="false" outlineLevel="0" collapsed="false">
      <c r="A89" s="49" t="str">
        <f aca="false">IF($A$76="","",$A$76)</f>
        <v>Project 1</v>
      </c>
      <c r="B89" s="54"/>
      <c r="C89" s="54"/>
      <c r="D89" s="54"/>
      <c r="E89" s="54"/>
      <c r="F89" s="54"/>
      <c r="G89" s="54"/>
      <c r="H89" s="54"/>
      <c r="I89" s="54"/>
      <c r="J89" s="54"/>
      <c r="K89" s="54"/>
      <c r="L89" s="54"/>
      <c r="M89" s="54"/>
    </row>
    <row r="90" customFormat="false" ht="15" hidden="false" customHeight="false" outlineLevel="0" collapsed="false">
      <c r="A90" s="49" t="str">
        <f aca="false">IF($A$77="","",$A$77)</f>
        <v>Project 2</v>
      </c>
      <c r="B90" s="54"/>
      <c r="C90" s="54"/>
      <c r="D90" s="54"/>
      <c r="E90" s="54"/>
      <c r="F90" s="54"/>
      <c r="G90" s="54"/>
      <c r="H90" s="54"/>
      <c r="I90" s="54"/>
      <c r="J90" s="54"/>
      <c r="K90" s="54"/>
      <c r="L90" s="54"/>
      <c r="M90" s="54"/>
    </row>
    <row r="91" customFormat="false" ht="15" hidden="false" customHeight="false" outlineLevel="0" collapsed="false">
      <c r="A91" s="49" t="str">
        <f aca="false">IF($A$78="","",$A$78)</f>
        <v>Project 3</v>
      </c>
      <c r="B91" s="54"/>
      <c r="C91" s="54"/>
      <c r="D91" s="54"/>
      <c r="E91" s="54"/>
      <c r="F91" s="54"/>
      <c r="G91" s="54"/>
      <c r="H91" s="54"/>
      <c r="I91" s="54"/>
      <c r="J91" s="54"/>
      <c r="K91" s="54"/>
      <c r="L91" s="54"/>
      <c r="M91" s="54"/>
    </row>
    <row r="92" customFormat="false" ht="15" hidden="false" customHeight="false" outlineLevel="0" collapsed="false">
      <c r="A92" s="49" t="str">
        <f aca="false">IF($A$79="","",$A$79)</f>
        <v>Project 4</v>
      </c>
      <c r="B92" s="54"/>
      <c r="C92" s="54"/>
      <c r="D92" s="54"/>
      <c r="E92" s="54"/>
      <c r="F92" s="54"/>
      <c r="G92" s="54"/>
      <c r="H92" s="54"/>
      <c r="I92" s="54"/>
      <c r="J92" s="54"/>
      <c r="K92" s="54"/>
      <c r="L92" s="54"/>
      <c r="M92" s="54"/>
    </row>
    <row r="93" customFormat="false" ht="15" hidden="false" customHeight="false" outlineLevel="0" collapsed="false">
      <c r="A93" s="49" t="str">
        <f aca="false">IF($A$80="","",$A$80)</f>
        <v>Project 5</v>
      </c>
      <c r="B93" s="54"/>
      <c r="C93" s="54"/>
      <c r="D93" s="54"/>
      <c r="E93" s="54"/>
      <c r="F93" s="54"/>
      <c r="G93" s="54"/>
      <c r="H93" s="54"/>
      <c r="I93" s="54"/>
      <c r="J93" s="54"/>
      <c r="K93" s="54"/>
      <c r="L93" s="54"/>
      <c r="M93" s="54"/>
    </row>
    <row r="94" customFormat="false" ht="15" hidden="false" customHeight="false" outlineLevel="0" collapsed="false">
      <c r="A94" s="49" t="str">
        <f aca="false">IF($A$81="","",$A$81)</f>
        <v>Project 6</v>
      </c>
      <c r="B94" s="54"/>
      <c r="C94" s="54"/>
      <c r="D94" s="54"/>
      <c r="E94" s="54"/>
      <c r="F94" s="54"/>
      <c r="G94" s="54"/>
      <c r="H94" s="54"/>
      <c r="I94" s="54"/>
      <c r="J94" s="54"/>
      <c r="K94" s="54"/>
      <c r="L94" s="54"/>
      <c r="M94" s="54"/>
    </row>
    <row r="95" customFormat="false" ht="15" hidden="false" customHeight="false" outlineLevel="0" collapsed="false">
      <c r="A95" s="49" t="str">
        <f aca="false">IF($A$82="","",$A$82)</f>
        <v/>
      </c>
      <c r="B95" s="54"/>
      <c r="C95" s="54"/>
      <c r="D95" s="54"/>
      <c r="E95" s="54"/>
      <c r="F95" s="54"/>
      <c r="G95" s="54"/>
      <c r="H95" s="54"/>
      <c r="I95" s="54"/>
      <c r="J95" s="54"/>
      <c r="K95" s="54"/>
      <c r="L95" s="54"/>
      <c r="M95" s="54"/>
    </row>
    <row r="96" customFormat="false" ht="15" hidden="false" customHeight="false" outlineLevel="0" collapsed="false">
      <c r="A96" s="49" t="str">
        <f aca="false">IF($A$83="","",$A$83)</f>
        <v/>
      </c>
      <c r="B96" s="54"/>
      <c r="C96" s="54"/>
      <c r="D96" s="54"/>
      <c r="E96" s="54"/>
      <c r="F96" s="54"/>
      <c r="G96" s="54"/>
      <c r="H96" s="54"/>
      <c r="I96" s="54"/>
      <c r="J96" s="54"/>
      <c r="K96" s="54"/>
      <c r="L96" s="54"/>
      <c r="M96" s="54"/>
    </row>
    <row r="97" customFormat="false" ht="15" hidden="false" customHeight="false" outlineLevel="0" collapsed="false">
      <c r="A97" s="40" t="s">
        <v>103</v>
      </c>
      <c r="B97" s="51" t="n">
        <f aca="false">SUM(B89:B96)</f>
        <v>0</v>
      </c>
      <c r="C97" s="51" t="n">
        <f aca="false">SUM(C89:C96)</f>
        <v>0</v>
      </c>
      <c r="D97" s="51" t="n">
        <f aca="false">SUM(D89:D96)</f>
        <v>0</v>
      </c>
      <c r="E97" s="51" t="n">
        <f aca="false">SUM(E89:E96)</f>
        <v>0</v>
      </c>
      <c r="F97" s="51" t="n">
        <f aca="false">SUM(F89:F96)</f>
        <v>0</v>
      </c>
      <c r="G97" s="51" t="n">
        <f aca="false">SUM(G89:G96)</f>
        <v>0</v>
      </c>
      <c r="H97" s="51" t="n">
        <f aca="false">SUM(H89:H96)</f>
        <v>0</v>
      </c>
      <c r="I97" s="51" t="n">
        <f aca="false">SUM(I89:I96)</f>
        <v>0</v>
      </c>
      <c r="J97" s="51" t="n">
        <f aca="false">SUM(J89:J96)</f>
        <v>0</v>
      </c>
      <c r="K97" s="51" t="n">
        <f aca="false">SUM(K89:K96)</f>
        <v>0</v>
      </c>
      <c r="L97" s="51" t="n">
        <f aca="false">SUM(L89:L96)</f>
        <v>0</v>
      </c>
      <c r="M97" s="51" t="n">
        <f aca="false">SUM(M89:M96)</f>
        <v>0</v>
      </c>
    </row>
    <row r="99" customFormat="false" ht="15" hidden="false" customHeight="false" outlineLevel="0" collapsed="false">
      <c r="A99" s="34" t="str">
        <f aca="false">"Quality Performance – current period ("&amp;CurLbl&amp;")"</f>
        <v>Quality Performance – current period (P7)</v>
      </c>
      <c r="B99" s="35"/>
      <c r="C99" s="35"/>
      <c r="D99" s="35"/>
      <c r="E99" s="35"/>
      <c r="F99" s="35"/>
      <c r="G99" s="35"/>
      <c r="H99" s="35"/>
      <c r="I99" s="35"/>
      <c r="J99" s="35"/>
      <c r="K99" s="35"/>
      <c r="L99" s="35"/>
      <c r="M99" s="35"/>
    </row>
    <row r="100" customFormat="false" ht="30" hidden="false" customHeight="true" outlineLevel="0" collapsed="false">
      <c r="A100" s="36" t="s">
        <v>25</v>
      </c>
      <c r="B100" s="14" t="s">
        <v>50</v>
      </c>
      <c r="C100" s="14"/>
      <c r="D100" s="14" t="s">
        <v>51</v>
      </c>
      <c r="E100" s="14"/>
      <c r="F100" s="14" t="s">
        <v>52</v>
      </c>
      <c r="G100" s="14"/>
      <c r="H100" s="14" t="s">
        <v>53</v>
      </c>
      <c r="I100" s="14"/>
    </row>
    <row r="101" customFormat="false" ht="15" hidden="false" customHeight="true" outlineLevel="0" collapsed="false">
      <c r="A101" s="36"/>
      <c r="B101" s="48" t="s">
        <v>83</v>
      </c>
      <c r="C101" s="48"/>
      <c r="D101" s="48" t="s">
        <v>81</v>
      </c>
      <c r="E101" s="48" t="s">
        <v>82</v>
      </c>
      <c r="F101" s="48" t="s">
        <v>81</v>
      </c>
      <c r="G101" s="48" t="s">
        <v>82</v>
      </c>
      <c r="H101" s="48" t="s">
        <v>81</v>
      </c>
      <c r="I101" s="48" t="s">
        <v>82</v>
      </c>
    </row>
    <row r="102" customFormat="false" ht="15" hidden="false" customHeight="false" outlineLevel="0" collapsed="false">
      <c r="A102" s="49" t="str">
        <f aca="false">IF($A$76="","",$A$76)</f>
        <v>Project 1</v>
      </c>
      <c r="B102" s="54"/>
      <c r="C102" s="54"/>
      <c r="D102" s="54"/>
      <c r="E102" s="54"/>
      <c r="F102" s="54"/>
      <c r="G102" s="54"/>
      <c r="H102" s="54"/>
      <c r="I102" s="54"/>
    </row>
    <row r="103" customFormat="false" ht="15" hidden="false" customHeight="false" outlineLevel="0" collapsed="false">
      <c r="A103" s="49" t="str">
        <f aca="false">IF($A$77="","",$A$77)</f>
        <v>Project 2</v>
      </c>
      <c r="B103" s="54"/>
      <c r="C103" s="54"/>
      <c r="D103" s="54"/>
      <c r="E103" s="54"/>
      <c r="F103" s="54"/>
      <c r="G103" s="54"/>
      <c r="H103" s="54"/>
      <c r="I103" s="54"/>
    </row>
    <row r="104" customFormat="false" ht="15" hidden="false" customHeight="false" outlineLevel="0" collapsed="false">
      <c r="A104" s="49" t="str">
        <f aca="false">IF($A$78="","",$A$78)</f>
        <v>Project 3</v>
      </c>
      <c r="B104" s="54"/>
      <c r="C104" s="54"/>
      <c r="D104" s="54"/>
      <c r="E104" s="54"/>
      <c r="F104" s="54"/>
      <c r="G104" s="54"/>
      <c r="H104" s="54"/>
      <c r="I104" s="54"/>
    </row>
    <row r="105" customFormat="false" ht="15" hidden="false" customHeight="false" outlineLevel="0" collapsed="false">
      <c r="A105" s="49" t="str">
        <f aca="false">IF($A$79="","",$A$79)</f>
        <v>Project 4</v>
      </c>
      <c r="B105" s="54"/>
      <c r="C105" s="54"/>
      <c r="D105" s="54"/>
      <c r="E105" s="54"/>
      <c r="F105" s="54"/>
      <c r="G105" s="54"/>
      <c r="H105" s="54"/>
      <c r="I105" s="54"/>
    </row>
    <row r="106" customFormat="false" ht="15" hidden="false" customHeight="false" outlineLevel="0" collapsed="false">
      <c r="A106" s="49" t="str">
        <f aca="false">IF($A$80="","",$A$80)</f>
        <v>Project 5</v>
      </c>
      <c r="B106" s="54"/>
      <c r="C106" s="54"/>
      <c r="D106" s="54"/>
      <c r="E106" s="54"/>
      <c r="F106" s="54"/>
      <c r="G106" s="54"/>
      <c r="H106" s="54"/>
      <c r="I106" s="54"/>
    </row>
    <row r="107" customFormat="false" ht="15" hidden="false" customHeight="false" outlineLevel="0" collapsed="false">
      <c r="A107" s="49" t="str">
        <f aca="false">IF($A$81="","",$A$81)</f>
        <v>Project 6</v>
      </c>
      <c r="B107" s="54"/>
      <c r="C107" s="54"/>
      <c r="D107" s="54"/>
      <c r="E107" s="54"/>
      <c r="F107" s="54"/>
      <c r="G107" s="54"/>
      <c r="H107" s="54"/>
      <c r="I107" s="54"/>
    </row>
    <row r="108" customFormat="false" ht="15" hidden="false" customHeight="false" outlineLevel="0" collapsed="false">
      <c r="A108" s="49" t="str">
        <f aca="false">IF($A$82="","",$A$82)</f>
        <v/>
      </c>
      <c r="B108" s="54"/>
      <c r="C108" s="54"/>
      <c r="D108" s="54"/>
      <c r="E108" s="54"/>
      <c r="F108" s="54"/>
      <c r="G108" s="54"/>
      <c r="H108" s="54"/>
      <c r="I108" s="54"/>
    </row>
    <row r="109" customFormat="false" ht="15" hidden="false" customHeight="false" outlineLevel="0" collapsed="false">
      <c r="A109" s="49" t="str">
        <f aca="false">IF($A$83="","",$A$83)</f>
        <v/>
      </c>
      <c r="B109" s="54"/>
      <c r="C109" s="54"/>
      <c r="D109" s="54"/>
      <c r="E109" s="54"/>
      <c r="F109" s="54"/>
      <c r="G109" s="54"/>
      <c r="H109" s="54"/>
      <c r="I109" s="54"/>
    </row>
    <row r="110" customFormat="false" ht="15" hidden="false" customHeight="false" outlineLevel="0" collapsed="false">
      <c r="A110" s="40" t="s">
        <v>103</v>
      </c>
      <c r="B110" s="51" t="str">
        <f aca="false">IF(COUNT(B102:B109)=0,"",SUM(B102:B109))</f>
        <v/>
      </c>
      <c r="C110" s="51"/>
      <c r="D110" s="51" t="n">
        <f aca="false">SUM(D102:D109)</f>
        <v>0</v>
      </c>
      <c r="E110" s="51" t="n">
        <f aca="false">SUM(E102:E109)</f>
        <v>0</v>
      </c>
      <c r="F110" s="51" t="n">
        <f aca="false">SUM(F102:F109)</f>
        <v>0</v>
      </c>
      <c r="G110" s="51" t="n">
        <f aca="false">SUM(G102:G109)</f>
        <v>0</v>
      </c>
      <c r="H110" s="51" t="n">
        <f aca="false">SUM(H102:H109)</f>
        <v>0</v>
      </c>
      <c r="I110" s="51" t="n">
        <f aca="false">SUM(I102:I109)</f>
        <v>0</v>
      </c>
    </row>
  </sheetData>
  <mergeCells count="202">
    <mergeCell ref="A2:H2"/>
    <mergeCell ref="I2:M2"/>
    <mergeCell ref="J3:M3"/>
    <mergeCell ref="B5:C5"/>
    <mergeCell ref="D5:E5"/>
    <mergeCell ref="F5:G5"/>
    <mergeCell ref="H5:I5"/>
    <mergeCell ref="J5:K5"/>
    <mergeCell ref="L5:M5"/>
    <mergeCell ref="B6:C6"/>
    <mergeCell ref="D6:E6"/>
    <mergeCell ref="F6:G6"/>
    <mergeCell ref="H6:I6"/>
    <mergeCell ref="J6:K6"/>
    <mergeCell ref="L6:M6"/>
    <mergeCell ref="B7:C7"/>
    <mergeCell ref="D7:E7"/>
    <mergeCell ref="F7:G7"/>
    <mergeCell ref="H7:I7"/>
    <mergeCell ref="J7:K7"/>
    <mergeCell ref="L7:M7"/>
    <mergeCell ref="B8:C8"/>
    <mergeCell ref="D8:E8"/>
    <mergeCell ref="F8:G8"/>
    <mergeCell ref="H8:I8"/>
    <mergeCell ref="J8:K8"/>
    <mergeCell ref="L8:M8"/>
    <mergeCell ref="B10:C10"/>
    <mergeCell ref="D10:E10"/>
    <mergeCell ref="F10:G10"/>
    <mergeCell ref="H10:I10"/>
    <mergeCell ref="J10:K10"/>
    <mergeCell ref="L10:M10"/>
    <mergeCell ref="B11:C11"/>
    <mergeCell ref="D11:E11"/>
    <mergeCell ref="F11:G11"/>
    <mergeCell ref="H11:I11"/>
    <mergeCell ref="J11:K11"/>
    <mergeCell ref="L11:M11"/>
    <mergeCell ref="B12:C12"/>
    <mergeCell ref="D12:E12"/>
    <mergeCell ref="F12:G12"/>
    <mergeCell ref="H12:I12"/>
    <mergeCell ref="J12:K12"/>
    <mergeCell ref="L12:M12"/>
    <mergeCell ref="B13:C13"/>
    <mergeCell ref="D13:E13"/>
    <mergeCell ref="F13:G13"/>
    <mergeCell ref="H13:I13"/>
    <mergeCell ref="J13:K13"/>
    <mergeCell ref="L13:M13"/>
    <mergeCell ref="B16:C16"/>
    <mergeCell ref="D16:E16"/>
    <mergeCell ref="F16:G16"/>
    <mergeCell ref="H16:I16"/>
    <mergeCell ref="J16:M16"/>
    <mergeCell ref="B17:C17"/>
    <mergeCell ref="D17:E17"/>
    <mergeCell ref="F17:G17"/>
    <mergeCell ref="H17:I17"/>
    <mergeCell ref="J17:M32"/>
    <mergeCell ref="B18:C18"/>
    <mergeCell ref="D18:E18"/>
    <mergeCell ref="F18:G18"/>
    <mergeCell ref="H18:I18"/>
    <mergeCell ref="B19:C19"/>
    <mergeCell ref="D19:E19"/>
    <mergeCell ref="F19:G19"/>
    <mergeCell ref="H19:I19"/>
    <mergeCell ref="B20:C20"/>
    <mergeCell ref="D20:E20"/>
    <mergeCell ref="F20:G20"/>
    <mergeCell ref="H20:I20"/>
    <mergeCell ref="B23:C23"/>
    <mergeCell ref="D23:E23"/>
    <mergeCell ref="F23:G23"/>
    <mergeCell ref="H23:I23"/>
    <mergeCell ref="B24:C24"/>
    <mergeCell ref="D24:E24"/>
    <mergeCell ref="F24:G24"/>
    <mergeCell ref="H24:I24"/>
    <mergeCell ref="B25:C25"/>
    <mergeCell ref="D25:E25"/>
    <mergeCell ref="F25:G25"/>
    <mergeCell ref="H25:I25"/>
    <mergeCell ref="B26:C26"/>
    <mergeCell ref="D26:E26"/>
    <mergeCell ref="F26:G26"/>
    <mergeCell ref="H26:I26"/>
    <mergeCell ref="B27:C27"/>
    <mergeCell ref="D27:E27"/>
    <mergeCell ref="F27:G27"/>
    <mergeCell ref="H27:I27"/>
    <mergeCell ref="B28:C28"/>
    <mergeCell ref="D28:E28"/>
    <mergeCell ref="F28:G28"/>
    <mergeCell ref="H28:I28"/>
    <mergeCell ref="B29:C29"/>
    <mergeCell ref="D29:E29"/>
    <mergeCell ref="F29:G29"/>
    <mergeCell ref="H29:I29"/>
    <mergeCell ref="B30:C30"/>
    <mergeCell ref="D30:E30"/>
    <mergeCell ref="F30:G30"/>
    <mergeCell ref="H30:I30"/>
    <mergeCell ref="B31:C31"/>
    <mergeCell ref="D31:E31"/>
    <mergeCell ref="F31:G31"/>
    <mergeCell ref="H31:I31"/>
    <mergeCell ref="B32:C32"/>
    <mergeCell ref="D32:E32"/>
    <mergeCell ref="F32:G32"/>
    <mergeCell ref="H32:I32"/>
    <mergeCell ref="B35:D35"/>
    <mergeCell ref="E35:G35"/>
    <mergeCell ref="H35:J35"/>
    <mergeCell ref="K35:M35"/>
    <mergeCell ref="B36:D36"/>
    <mergeCell ref="E36:G36"/>
    <mergeCell ref="H36:J36"/>
    <mergeCell ref="K36:M36"/>
    <mergeCell ref="B37:D37"/>
    <mergeCell ref="E37:G37"/>
    <mergeCell ref="H37:J37"/>
    <mergeCell ref="K37:M37"/>
    <mergeCell ref="B38:D38"/>
    <mergeCell ref="E38:G38"/>
    <mergeCell ref="H38:J38"/>
    <mergeCell ref="K38:M38"/>
    <mergeCell ref="B39:D39"/>
    <mergeCell ref="E39:G39"/>
    <mergeCell ref="H39:J39"/>
    <mergeCell ref="K39:M39"/>
    <mergeCell ref="B40:D40"/>
    <mergeCell ref="E40:G40"/>
    <mergeCell ref="H40:J40"/>
    <mergeCell ref="K40:M40"/>
    <mergeCell ref="B41:D41"/>
    <mergeCell ref="E41:G41"/>
    <mergeCell ref="H41:J41"/>
    <mergeCell ref="K41:M41"/>
    <mergeCell ref="B42:D42"/>
    <mergeCell ref="E42:G42"/>
    <mergeCell ref="H42:J42"/>
    <mergeCell ref="K42:M42"/>
    <mergeCell ref="B43:D43"/>
    <mergeCell ref="E43:G43"/>
    <mergeCell ref="H43:J43"/>
    <mergeCell ref="K43:M43"/>
    <mergeCell ref="B44:D44"/>
    <mergeCell ref="E44:G44"/>
    <mergeCell ref="H44:J44"/>
    <mergeCell ref="K44:M44"/>
    <mergeCell ref="B48:C48"/>
    <mergeCell ref="D48:E48"/>
    <mergeCell ref="F48:G48"/>
    <mergeCell ref="H48:I48"/>
    <mergeCell ref="J48:K48"/>
    <mergeCell ref="L48:M48"/>
    <mergeCell ref="B59:C59"/>
    <mergeCell ref="D59:E59"/>
    <mergeCell ref="F59:G59"/>
    <mergeCell ref="H59:I59"/>
    <mergeCell ref="B60:C60"/>
    <mergeCell ref="B61:C61"/>
    <mergeCell ref="B62:C62"/>
    <mergeCell ref="B63:C63"/>
    <mergeCell ref="B64:C64"/>
    <mergeCell ref="B65:C65"/>
    <mergeCell ref="B66:C66"/>
    <mergeCell ref="B67:C67"/>
    <mergeCell ref="B68:C68"/>
    <mergeCell ref="A71:M71"/>
    <mergeCell ref="A74:A75"/>
    <mergeCell ref="B74:C74"/>
    <mergeCell ref="D74:E74"/>
    <mergeCell ref="F74:G74"/>
    <mergeCell ref="H74:I74"/>
    <mergeCell ref="J74:K74"/>
    <mergeCell ref="L74:M74"/>
    <mergeCell ref="A87:A88"/>
    <mergeCell ref="B87:C87"/>
    <mergeCell ref="D87:E87"/>
    <mergeCell ref="F87:G87"/>
    <mergeCell ref="H87:I87"/>
    <mergeCell ref="J87:K87"/>
    <mergeCell ref="L87:M87"/>
    <mergeCell ref="A100:A101"/>
    <mergeCell ref="B100:C100"/>
    <mergeCell ref="D100:E100"/>
    <mergeCell ref="F100:G100"/>
    <mergeCell ref="H100:I100"/>
    <mergeCell ref="B101:C101"/>
    <mergeCell ref="B102:C102"/>
    <mergeCell ref="B103:C103"/>
    <mergeCell ref="B104:C104"/>
    <mergeCell ref="B105:C105"/>
    <mergeCell ref="B106:C106"/>
    <mergeCell ref="B107:C107"/>
    <mergeCell ref="B108:C108"/>
    <mergeCell ref="B109:C109"/>
    <mergeCell ref="B110:C110"/>
  </mergeCells>
  <conditionalFormatting sqref="B76">
    <cfRule type="expression" priority="2" aboveAverage="0" equalAverage="0" bottom="0" percent="0" rank="0" text="" dxfId="0">
      <formula>AND(ISNUMBER(B76),ISNUMBER(C76),B76&gt;C76)</formula>
    </cfRule>
  </conditionalFormatting>
  <conditionalFormatting sqref="D76">
    <cfRule type="expression" priority="3" aboveAverage="0" equalAverage="0" bottom="0" percent="0" rank="0" text="" dxfId="0">
      <formula>AND(ISNUMBER(D76),ISNUMBER(E76),D76&gt;E76)</formula>
    </cfRule>
  </conditionalFormatting>
  <conditionalFormatting sqref="F76">
    <cfRule type="expression" priority="4" aboveAverage="0" equalAverage="0" bottom="0" percent="0" rank="0" text="" dxfId="0">
      <formula>AND(ISNUMBER(F76),ISNUMBER(G76),F76&gt;G76)</formula>
    </cfRule>
  </conditionalFormatting>
  <conditionalFormatting sqref="H76">
    <cfRule type="expression" priority="5" aboveAverage="0" equalAverage="0" bottom="0" percent="0" rank="0" text="" dxfId="0">
      <formula>AND(ISNUMBER(H76),ISNUMBER(I76),H76&gt;I76)</formula>
    </cfRule>
  </conditionalFormatting>
  <conditionalFormatting sqref="J76">
    <cfRule type="expression" priority="6" aboveAverage="0" equalAverage="0" bottom="0" percent="0" rank="0" text="" dxfId="0">
      <formula>AND(ISNUMBER(J76),ISNUMBER(K76),J76&gt;K76)</formula>
    </cfRule>
  </conditionalFormatting>
  <conditionalFormatting sqref="L76">
    <cfRule type="expression" priority="7" aboveAverage="0" equalAverage="0" bottom="0" percent="0" rank="0" text="" dxfId="0">
      <formula>AND(ISNUMBER(L76),ISNUMBER(M76),L76&gt;M76)</formula>
    </cfRule>
  </conditionalFormatting>
  <conditionalFormatting sqref="B77">
    <cfRule type="expression" priority="8" aboveAverage="0" equalAverage="0" bottom="0" percent="0" rank="0" text="" dxfId="0">
      <formula>AND(ISNUMBER(B77),ISNUMBER(C77),B77&gt;C77)</formula>
    </cfRule>
  </conditionalFormatting>
  <conditionalFormatting sqref="D77">
    <cfRule type="expression" priority="9" aboveAverage="0" equalAverage="0" bottom="0" percent="0" rank="0" text="" dxfId="0">
      <formula>AND(ISNUMBER(D77),ISNUMBER(E77),D77&gt;E77)</formula>
    </cfRule>
  </conditionalFormatting>
  <conditionalFormatting sqref="F77">
    <cfRule type="expression" priority="10" aboveAverage="0" equalAverage="0" bottom="0" percent="0" rank="0" text="" dxfId="0">
      <formula>AND(ISNUMBER(F77),ISNUMBER(G77),F77&gt;G77)</formula>
    </cfRule>
  </conditionalFormatting>
  <conditionalFormatting sqref="H77">
    <cfRule type="expression" priority="11" aboveAverage="0" equalAverage="0" bottom="0" percent="0" rank="0" text="" dxfId="0">
      <formula>AND(ISNUMBER(H77),ISNUMBER(I77),H77&gt;I77)</formula>
    </cfRule>
  </conditionalFormatting>
  <conditionalFormatting sqref="J77">
    <cfRule type="expression" priority="12" aboveAverage="0" equalAverage="0" bottom="0" percent="0" rank="0" text="" dxfId="0">
      <formula>AND(ISNUMBER(J77),ISNUMBER(K77),J77&gt;K77)</formula>
    </cfRule>
  </conditionalFormatting>
  <conditionalFormatting sqref="L77">
    <cfRule type="expression" priority="13" aboveAverage="0" equalAverage="0" bottom="0" percent="0" rank="0" text="" dxfId="0">
      <formula>AND(ISNUMBER(L77),ISNUMBER(M77),L77&gt;M77)</formula>
    </cfRule>
  </conditionalFormatting>
  <conditionalFormatting sqref="B78">
    <cfRule type="expression" priority="14" aboveAverage="0" equalAverage="0" bottom="0" percent="0" rank="0" text="" dxfId="0">
      <formula>AND(ISNUMBER(B78),ISNUMBER(C78),B78&gt;C78)</formula>
    </cfRule>
  </conditionalFormatting>
  <conditionalFormatting sqref="D78">
    <cfRule type="expression" priority="15" aboveAverage="0" equalAverage="0" bottom="0" percent="0" rank="0" text="" dxfId="0">
      <formula>AND(ISNUMBER(D78),ISNUMBER(E78),D78&gt;E78)</formula>
    </cfRule>
  </conditionalFormatting>
  <conditionalFormatting sqref="F78">
    <cfRule type="expression" priority="16" aboveAverage="0" equalAverage="0" bottom="0" percent="0" rank="0" text="" dxfId="0">
      <formula>AND(ISNUMBER(F78),ISNUMBER(G78),F78&gt;G78)</formula>
    </cfRule>
  </conditionalFormatting>
  <conditionalFormatting sqref="H78">
    <cfRule type="expression" priority="17" aboveAverage="0" equalAverage="0" bottom="0" percent="0" rank="0" text="" dxfId="0">
      <formula>AND(ISNUMBER(H78),ISNUMBER(I78),H78&gt;I78)</formula>
    </cfRule>
  </conditionalFormatting>
  <conditionalFormatting sqref="J78">
    <cfRule type="expression" priority="18" aboveAverage="0" equalAverage="0" bottom="0" percent="0" rank="0" text="" dxfId="0">
      <formula>AND(ISNUMBER(J78),ISNUMBER(K78),J78&gt;K78)</formula>
    </cfRule>
  </conditionalFormatting>
  <conditionalFormatting sqref="L78">
    <cfRule type="expression" priority="19" aboveAverage="0" equalAverage="0" bottom="0" percent="0" rank="0" text="" dxfId="0">
      <formula>AND(ISNUMBER(L78),ISNUMBER(M78),L78&gt;M78)</formula>
    </cfRule>
  </conditionalFormatting>
  <conditionalFormatting sqref="B79">
    <cfRule type="expression" priority="20" aboveAverage="0" equalAverage="0" bottom="0" percent="0" rank="0" text="" dxfId="0">
      <formula>AND(ISNUMBER(B79),ISNUMBER(C79),B79&gt;C79)</formula>
    </cfRule>
  </conditionalFormatting>
  <conditionalFormatting sqref="D79">
    <cfRule type="expression" priority="21" aboveAverage="0" equalAverage="0" bottom="0" percent="0" rank="0" text="" dxfId="0">
      <formula>AND(ISNUMBER(D79),ISNUMBER(E79),D79&gt;E79)</formula>
    </cfRule>
  </conditionalFormatting>
  <conditionalFormatting sqref="F79">
    <cfRule type="expression" priority="22" aboveAverage="0" equalAverage="0" bottom="0" percent="0" rank="0" text="" dxfId="0">
      <formula>AND(ISNUMBER(F79),ISNUMBER(G79),F79&gt;G79)</formula>
    </cfRule>
  </conditionalFormatting>
  <conditionalFormatting sqref="H79">
    <cfRule type="expression" priority="23" aboveAverage="0" equalAverage="0" bottom="0" percent="0" rank="0" text="" dxfId="0">
      <formula>AND(ISNUMBER(H79),ISNUMBER(I79),H79&gt;I79)</formula>
    </cfRule>
  </conditionalFormatting>
  <conditionalFormatting sqref="J79">
    <cfRule type="expression" priority="24" aboveAverage="0" equalAverage="0" bottom="0" percent="0" rank="0" text="" dxfId="0">
      <formula>AND(ISNUMBER(J79),ISNUMBER(K79),J79&gt;K79)</formula>
    </cfRule>
  </conditionalFormatting>
  <conditionalFormatting sqref="L79">
    <cfRule type="expression" priority="25" aboveAverage="0" equalAverage="0" bottom="0" percent="0" rank="0" text="" dxfId="0">
      <formula>AND(ISNUMBER(L79),ISNUMBER(M79),L79&gt;M79)</formula>
    </cfRule>
  </conditionalFormatting>
  <conditionalFormatting sqref="B80">
    <cfRule type="expression" priority="26" aboveAverage="0" equalAverage="0" bottom="0" percent="0" rank="0" text="" dxfId="0">
      <formula>AND(ISNUMBER(B80),ISNUMBER(C80),B80&gt;C80)</formula>
    </cfRule>
  </conditionalFormatting>
  <conditionalFormatting sqref="D80">
    <cfRule type="expression" priority="27" aboveAverage="0" equalAverage="0" bottom="0" percent="0" rank="0" text="" dxfId="0">
      <formula>AND(ISNUMBER(D80),ISNUMBER(E80),D80&gt;E80)</formula>
    </cfRule>
  </conditionalFormatting>
  <conditionalFormatting sqref="F80">
    <cfRule type="expression" priority="28" aboveAverage="0" equalAverage="0" bottom="0" percent="0" rank="0" text="" dxfId="0">
      <formula>AND(ISNUMBER(F80),ISNUMBER(G80),F80&gt;G80)</formula>
    </cfRule>
  </conditionalFormatting>
  <conditionalFormatting sqref="H80">
    <cfRule type="expression" priority="29" aboveAverage="0" equalAverage="0" bottom="0" percent="0" rank="0" text="" dxfId="0">
      <formula>AND(ISNUMBER(H80),ISNUMBER(I80),H80&gt;I80)</formula>
    </cfRule>
  </conditionalFormatting>
  <conditionalFormatting sqref="J80">
    <cfRule type="expression" priority="30" aboveAverage="0" equalAverage="0" bottom="0" percent="0" rank="0" text="" dxfId="0">
      <formula>AND(ISNUMBER(J80),ISNUMBER(K80),J80&gt;K80)</formula>
    </cfRule>
  </conditionalFormatting>
  <conditionalFormatting sqref="L80">
    <cfRule type="expression" priority="31" aboveAverage="0" equalAverage="0" bottom="0" percent="0" rank="0" text="" dxfId="0">
      <formula>AND(ISNUMBER(L80),ISNUMBER(M80),L80&gt;M80)</formula>
    </cfRule>
  </conditionalFormatting>
  <conditionalFormatting sqref="B81">
    <cfRule type="expression" priority="32" aboveAverage="0" equalAverage="0" bottom="0" percent="0" rank="0" text="" dxfId="0">
      <formula>AND(ISNUMBER(B81),ISNUMBER(C81),B81&gt;C81)</formula>
    </cfRule>
  </conditionalFormatting>
  <conditionalFormatting sqref="D81">
    <cfRule type="expression" priority="33" aboveAverage="0" equalAverage="0" bottom="0" percent="0" rank="0" text="" dxfId="0">
      <formula>AND(ISNUMBER(D81),ISNUMBER(E81),D81&gt;E81)</formula>
    </cfRule>
  </conditionalFormatting>
  <conditionalFormatting sqref="F81">
    <cfRule type="expression" priority="34" aboveAverage="0" equalAverage="0" bottom="0" percent="0" rank="0" text="" dxfId="0">
      <formula>AND(ISNUMBER(F81),ISNUMBER(G81),F81&gt;G81)</formula>
    </cfRule>
  </conditionalFormatting>
  <conditionalFormatting sqref="H81">
    <cfRule type="expression" priority="35" aboveAverage="0" equalAverage="0" bottom="0" percent="0" rank="0" text="" dxfId="0">
      <formula>AND(ISNUMBER(H81),ISNUMBER(I81),H81&gt;I81)</formula>
    </cfRule>
  </conditionalFormatting>
  <conditionalFormatting sqref="J81">
    <cfRule type="expression" priority="36" aboveAverage="0" equalAverage="0" bottom="0" percent="0" rank="0" text="" dxfId="0">
      <formula>AND(ISNUMBER(J81),ISNUMBER(K81),J81&gt;K81)</formula>
    </cfRule>
  </conditionalFormatting>
  <conditionalFormatting sqref="L81">
    <cfRule type="expression" priority="37" aboveAverage="0" equalAverage="0" bottom="0" percent="0" rank="0" text="" dxfId="0">
      <formula>AND(ISNUMBER(L81),ISNUMBER(M81),L81&gt;M81)</formula>
    </cfRule>
  </conditionalFormatting>
  <conditionalFormatting sqref="B82">
    <cfRule type="expression" priority="38" aboveAverage="0" equalAverage="0" bottom="0" percent="0" rank="0" text="" dxfId="0">
      <formula>AND(ISNUMBER(B82),ISNUMBER(C82),B82&gt;C82)</formula>
    </cfRule>
  </conditionalFormatting>
  <conditionalFormatting sqref="D82">
    <cfRule type="expression" priority="39" aboveAverage="0" equalAverage="0" bottom="0" percent="0" rank="0" text="" dxfId="0">
      <formula>AND(ISNUMBER(D82),ISNUMBER(E82),D82&gt;E82)</formula>
    </cfRule>
  </conditionalFormatting>
  <conditionalFormatting sqref="F82">
    <cfRule type="expression" priority="40" aboveAverage="0" equalAverage="0" bottom="0" percent="0" rank="0" text="" dxfId="0">
      <formula>AND(ISNUMBER(F82),ISNUMBER(G82),F82&gt;G82)</formula>
    </cfRule>
  </conditionalFormatting>
  <conditionalFormatting sqref="H82">
    <cfRule type="expression" priority="41" aboveAverage="0" equalAverage="0" bottom="0" percent="0" rank="0" text="" dxfId="0">
      <formula>AND(ISNUMBER(H82),ISNUMBER(I82),H82&gt;I82)</formula>
    </cfRule>
  </conditionalFormatting>
  <conditionalFormatting sqref="J82">
    <cfRule type="expression" priority="42" aboveAverage="0" equalAverage="0" bottom="0" percent="0" rank="0" text="" dxfId="0">
      <formula>AND(ISNUMBER(J82),ISNUMBER(K82),J82&gt;K82)</formula>
    </cfRule>
  </conditionalFormatting>
  <conditionalFormatting sqref="L82">
    <cfRule type="expression" priority="43" aboveAverage="0" equalAverage="0" bottom="0" percent="0" rank="0" text="" dxfId="0">
      <formula>AND(ISNUMBER(L82),ISNUMBER(M82),L82&gt;M82)</formula>
    </cfRule>
  </conditionalFormatting>
  <conditionalFormatting sqref="B83">
    <cfRule type="expression" priority="44" aboveAverage="0" equalAverage="0" bottom="0" percent="0" rank="0" text="" dxfId="0">
      <formula>AND(ISNUMBER(B83),ISNUMBER(C83),B83&gt;C83)</formula>
    </cfRule>
  </conditionalFormatting>
  <conditionalFormatting sqref="D83">
    <cfRule type="expression" priority="45" aboveAverage="0" equalAverage="0" bottom="0" percent="0" rank="0" text="" dxfId="0">
      <formula>AND(ISNUMBER(D83),ISNUMBER(E83),D83&gt;E83)</formula>
    </cfRule>
  </conditionalFormatting>
  <conditionalFormatting sqref="F83">
    <cfRule type="expression" priority="46" aboveAverage="0" equalAverage="0" bottom="0" percent="0" rank="0" text="" dxfId="0">
      <formula>AND(ISNUMBER(F83),ISNUMBER(G83),F83&gt;G83)</formula>
    </cfRule>
  </conditionalFormatting>
  <conditionalFormatting sqref="H83">
    <cfRule type="expression" priority="47" aboveAverage="0" equalAverage="0" bottom="0" percent="0" rank="0" text="" dxfId="0">
      <formula>AND(ISNUMBER(H83),ISNUMBER(I83),H83&gt;I83)</formula>
    </cfRule>
  </conditionalFormatting>
  <conditionalFormatting sqref="J83">
    <cfRule type="expression" priority="48" aboveAverage="0" equalAverage="0" bottom="0" percent="0" rank="0" text="" dxfId="0">
      <formula>AND(ISNUMBER(J83),ISNUMBER(K83),J83&gt;K83)</formula>
    </cfRule>
  </conditionalFormatting>
  <conditionalFormatting sqref="L83">
    <cfRule type="expression" priority="49" aboveAverage="0" equalAverage="0" bottom="0" percent="0" rank="0" text="" dxfId="0">
      <formula>AND(ISNUMBER(L83),ISNUMBER(M83),L83&gt;M83)</formula>
    </cfRule>
  </conditionalFormatting>
  <conditionalFormatting sqref="B89">
    <cfRule type="expression" priority="50" aboveAverage="0" equalAverage="0" bottom="0" percent="0" rank="0" text="" dxfId="0">
      <formula>AND(ISNUMBER(B89),ISNUMBER(C89),B89&gt;C89)</formula>
    </cfRule>
  </conditionalFormatting>
  <conditionalFormatting sqref="D89">
    <cfRule type="expression" priority="51" aboveAverage="0" equalAverage="0" bottom="0" percent="0" rank="0" text="" dxfId="0">
      <formula>AND(ISNUMBER(D89),ISNUMBER(E89),D89&gt;E89)</formula>
    </cfRule>
  </conditionalFormatting>
  <conditionalFormatting sqref="F89">
    <cfRule type="expression" priority="52" aboveAverage="0" equalAverage="0" bottom="0" percent="0" rank="0" text="" dxfId="0">
      <formula>AND(ISNUMBER(F89),ISNUMBER(G89),F89&gt;G89)</formula>
    </cfRule>
  </conditionalFormatting>
  <conditionalFormatting sqref="H89">
    <cfRule type="expression" priority="53" aboveAverage="0" equalAverage="0" bottom="0" percent="0" rank="0" text="" dxfId="0">
      <formula>AND(ISNUMBER(H89),ISNUMBER(I89),H89&gt;I89)</formula>
    </cfRule>
  </conditionalFormatting>
  <conditionalFormatting sqref="J89">
    <cfRule type="expression" priority="54" aboveAverage="0" equalAverage="0" bottom="0" percent="0" rank="0" text="" dxfId="0">
      <formula>AND(ISNUMBER(J89),ISNUMBER(K89),J89&gt;K89)</formula>
    </cfRule>
  </conditionalFormatting>
  <conditionalFormatting sqref="L89">
    <cfRule type="expression" priority="55" aboveAverage="0" equalAverage="0" bottom="0" percent="0" rank="0" text="" dxfId="0">
      <formula>AND(ISNUMBER(L89),ISNUMBER(M89),L89&gt;M89)</formula>
    </cfRule>
  </conditionalFormatting>
  <conditionalFormatting sqref="B90">
    <cfRule type="expression" priority="56" aboveAverage="0" equalAverage="0" bottom="0" percent="0" rank="0" text="" dxfId="0">
      <formula>AND(ISNUMBER(B90),ISNUMBER(C90),B90&gt;C90)</formula>
    </cfRule>
  </conditionalFormatting>
  <conditionalFormatting sqref="D90">
    <cfRule type="expression" priority="57" aboveAverage="0" equalAverage="0" bottom="0" percent="0" rank="0" text="" dxfId="0">
      <formula>AND(ISNUMBER(D90),ISNUMBER(E90),D90&gt;E90)</formula>
    </cfRule>
  </conditionalFormatting>
  <conditionalFormatting sqref="F90">
    <cfRule type="expression" priority="58" aboveAverage="0" equalAverage="0" bottom="0" percent="0" rank="0" text="" dxfId="0">
      <formula>AND(ISNUMBER(F90),ISNUMBER(G90),F90&gt;G90)</formula>
    </cfRule>
  </conditionalFormatting>
  <conditionalFormatting sqref="H90">
    <cfRule type="expression" priority="59" aboveAverage="0" equalAverage="0" bottom="0" percent="0" rank="0" text="" dxfId="0">
      <formula>AND(ISNUMBER(H90),ISNUMBER(I90),H90&gt;I90)</formula>
    </cfRule>
  </conditionalFormatting>
  <conditionalFormatting sqref="J90">
    <cfRule type="expression" priority="60" aboveAverage="0" equalAverage="0" bottom="0" percent="0" rank="0" text="" dxfId="0">
      <formula>AND(ISNUMBER(J90),ISNUMBER(K90),J90&gt;K90)</formula>
    </cfRule>
  </conditionalFormatting>
  <conditionalFormatting sqref="L90">
    <cfRule type="expression" priority="61" aboveAverage="0" equalAverage="0" bottom="0" percent="0" rank="0" text="" dxfId="0">
      <formula>AND(ISNUMBER(L90),ISNUMBER(M90),L90&gt;M90)</formula>
    </cfRule>
  </conditionalFormatting>
  <conditionalFormatting sqref="B91">
    <cfRule type="expression" priority="62" aboveAverage="0" equalAverage="0" bottom="0" percent="0" rank="0" text="" dxfId="0">
      <formula>AND(ISNUMBER(B91),ISNUMBER(C91),B91&gt;C91)</formula>
    </cfRule>
  </conditionalFormatting>
  <conditionalFormatting sqref="D91">
    <cfRule type="expression" priority="63" aboveAverage="0" equalAverage="0" bottom="0" percent="0" rank="0" text="" dxfId="0">
      <formula>AND(ISNUMBER(D91),ISNUMBER(E91),D91&gt;E91)</formula>
    </cfRule>
  </conditionalFormatting>
  <conditionalFormatting sqref="F91">
    <cfRule type="expression" priority="64" aboveAverage="0" equalAverage="0" bottom="0" percent="0" rank="0" text="" dxfId="0">
      <formula>AND(ISNUMBER(F91),ISNUMBER(G91),F91&gt;G91)</formula>
    </cfRule>
  </conditionalFormatting>
  <conditionalFormatting sqref="H91">
    <cfRule type="expression" priority="65" aboveAverage="0" equalAverage="0" bottom="0" percent="0" rank="0" text="" dxfId="0">
      <formula>AND(ISNUMBER(H91),ISNUMBER(I91),H91&gt;I91)</formula>
    </cfRule>
  </conditionalFormatting>
  <conditionalFormatting sqref="J91">
    <cfRule type="expression" priority="66" aboveAverage="0" equalAverage="0" bottom="0" percent="0" rank="0" text="" dxfId="0">
      <formula>AND(ISNUMBER(J91),ISNUMBER(K91),J91&gt;K91)</formula>
    </cfRule>
  </conditionalFormatting>
  <conditionalFormatting sqref="L91">
    <cfRule type="expression" priority="67" aboveAverage="0" equalAverage="0" bottom="0" percent="0" rank="0" text="" dxfId="0">
      <formula>AND(ISNUMBER(L91),ISNUMBER(M91),L91&gt;M91)</formula>
    </cfRule>
  </conditionalFormatting>
  <conditionalFormatting sqref="B92">
    <cfRule type="expression" priority="68" aboveAverage="0" equalAverage="0" bottom="0" percent="0" rank="0" text="" dxfId="0">
      <formula>AND(ISNUMBER(B92),ISNUMBER(C92),B92&gt;C92)</formula>
    </cfRule>
  </conditionalFormatting>
  <conditionalFormatting sqref="D92">
    <cfRule type="expression" priority="69" aboveAverage="0" equalAverage="0" bottom="0" percent="0" rank="0" text="" dxfId="0">
      <formula>AND(ISNUMBER(D92),ISNUMBER(E92),D92&gt;E92)</formula>
    </cfRule>
  </conditionalFormatting>
  <conditionalFormatting sqref="F92">
    <cfRule type="expression" priority="70" aboveAverage="0" equalAverage="0" bottom="0" percent="0" rank="0" text="" dxfId="0">
      <formula>AND(ISNUMBER(F92),ISNUMBER(G92),F92&gt;G92)</formula>
    </cfRule>
  </conditionalFormatting>
  <conditionalFormatting sqref="H92">
    <cfRule type="expression" priority="71" aboveAverage="0" equalAverage="0" bottom="0" percent="0" rank="0" text="" dxfId="0">
      <formula>AND(ISNUMBER(H92),ISNUMBER(I92),H92&gt;I92)</formula>
    </cfRule>
  </conditionalFormatting>
  <conditionalFormatting sqref="J92">
    <cfRule type="expression" priority="72" aboveAverage="0" equalAverage="0" bottom="0" percent="0" rank="0" text="" dxfId="0">
      <formula>AND(ISNUMBER(J92),ISNUMBER(K92),J92&gt;K92)</formula>
    </cfRule>
  </conditionalFormatting>
  <conditionalFormatting sqref="L92">
    <cfRule type="expression" priority="73" aboveAverage="0" equalAverage="0" bottom="0" percent="0" rank="0" text="" dxfId="0">
      <formula>AND(ISNUMBER(L92),ISNUMBER(M92),L92&gt;M92)</formula>
    </cfRule>
  </conditionalFormatting>
  <conditionalFormatting sqref="B93">
    <cfRule type="expression" priority="74" aboveAverage="0" equalAverage="0" bottom="0" percent="0" rank="0" text="" dxfId="0">
      <formula>AND(ISNUMBER(B93),ISNUMBER(C93),B93&gt;C93)</formula>
    </cfRule>
  </conditionalFormatting>
  <conditionalFormatting sqref="D93">
    <cfRule type="expression" priority="75" aboveAverage="0" equalAverage="0" bottom="0" percent="0" rank="0" text="" dxfId="0">
      <formula>AND(ISNUMBER(D93),ISNUMBER(E93),D93&gt;E93)</formula>
    </cfRule>
  </conditionalFormatting>
  <conditionalFormatting sqref="F93">
    <cfRule type="expression" priority="76" aboveAverage="0" equalAverage="0" bottom="0" percent="0" rank="0" text="" dxfId="0">
      <formula>AND(ISNUMBER(F93),ISNUMBER(G93),F93&gt;G93)</formula>
    </cfRule>
  </conditionalFormatting>
  <conditionalFormatting sqref="H93">
    <cfRule type="expression" priority="77" aboveAverage="0" equalAverage="0" bottom="0" percent="0" rank="0" text="" dxfId="0">
      <formula>AND(ISNUMBER(H93),ISNUMBER(I93),H93&gt;I93)</formula>
    </cfRule>
  </conditionalFormatting>
  <conditionalFormatting sqref="J93">
    <cfRule type="expression" priority="78" aboveAverage="0" equalAverage="0" bottom="0" percent="0" rank="0" text="" dxfId="0">
      <formula>AND(ISNUMBER(J93),ISNUMBER(K93),J93&gt;K93)</formula>
    </cfRule>
  </conditionalFormatting>
  <conditionalFormatting sqref="L93">
    <cfRule type="expression" priority="79" aboveAverage="0" equalAverage="0" bottom="0" percent="0" rank="0" text="" dxfId="0">
      <formula>AND(ISNUMBER(L93),ISNUMBER(M93),L93&gt;M93)</formula>
    </cfRule>
  </conditionalFormatting>
  <conditionalFormatting sqref="B94">
    <cfRule type="expression" priority="80" aboveAverage="0" equalAverage="0" bottom="0" percent="0" rank="0" text="" dxfId="0">
      <formula>AND(ISNUMBER(B94),ISNUMBER(C94),B94&gt;C94)</formula>
    </cfRule>
  </conditionalFormatting>
  <conditionalFormatting sqref="D94">
    <cfRule type="expression" priority="81" aboveAverage="0" equalAverage="0" bottom="0" percent="0" rank="0" text="" dxfId="0">
      <formula>AND(ISNUMBER(D94),ISNUMBER(E94),D94&gt;E94)</formula>
    </cfRule>
  </conditionalFormatting>
  <conditionalFormatting sqref="F94">
    <cfRule type="expression" priority="82" aboveAverage="0" equalAverage="0" bottom="0" percent="0" rank="0" text="" dxfId="0">
      <formula>AND(ISNUMBER(F94),ISNUMBER(G94),F94&gt;G94)</formula>
    </cfRule>
  </conditionalFormatting>
  <conditionalFormatting sqref="H94">
    <cfRule type="expression" priority="83" aboveAverage="0" equalAverage="0" bottom="0" percent="0" rank="0" text="" dxfId="0">
      <formula>AND(ISNUMBER(H94),ISNUMBER(I94),H94&gt;I94)</formula>
    </cfRule>
  </conditionalFormatting>
  <conditionalFormatting sqref="J94">
    <cfRule type="expression" priority="84" aboveAverage="0" equalAverage="0" bottom="0" percent="0" rank="0" text="" dxfId="0">
      <formula>AND(ISNUMBER(J94),ISNUMBER(K94),J94&gt;K94)</formula>
    </cfRule>
  </conditionalFormatting>
  <conditionalFormatting sqref="L94">
    <cfRule type="expression" priority="85" aboveAverage="0" equalAverage="0" bottom="0" percent="0" rank="0" text="" dxfId="0">
      <formula>AND(ISNUMBER(L94),ISNUMBER(M94),L94&gt;M94)</formula>
    </cfRule>
  </conditionalFormatting>
  <conditionalFormatting sqref="B95">
    <cfRule type="expression" priority="86" aboveAverage="0" equalAverage="0" bottom="0" percent="0" rank="0" text="" dxfId="0">
      <formula>AND(ISNUMBER(B95),ISNUMBER(C95),B95&gt;C95)</formula>
    </cfRule>
  </conditionalFormatting>
  <conditionalFormatting sqref="D95">
    <cfRule type="expression" priority="87" aboveAverage="0" equalAverage="0" bottom="0" percent="0" rank="0" text="" dxfId="0">
      <formula>AND(ISNUMBER(D95),ISNUMBER(E95),D95&gt;E95)</formula>
    </cfRule>
  </conditionalFormatting>
  <conditionalFormatting sqref="F95">
    <cfRule type="expression" priority="88" aboveAverage="0" equalAverage="0" bottom="0" percent="0" rank="0" text="" dxfId="0">
      <formula>AND(ISNUMBER(F95),ISNUMBER(G95),F95&gt;G95)</formula>
    </cfRule>
  </conditionalFormatting>
  <conditionalFormatting sqref="H95">
    <cfRule type="expression" priority="89" aboveAverage="0" equalAverage="0" bottom="0" percent="0" rank="0" text="" dxfId="0">
      <formula>AND(ISNUMBER(H95),ISNUMBER(I95),H95&gt;I95)</formula>
    </cfRule>
  </conditionalFormatting>
  <conditionalFormatting sqref="J95">
    <cfRule type="expression" priority="90" aboveAverage="0" equalAverage="0" bottom="0" percent="0" rank="0" text="" dxfId="0">
      <formula>AND(ISNUMBER(J95),ISNUMBER(K95),J95&gt;K95)</formula>
    </cfRule>
  </conditionalFormatting>
  <conditionalFormatting sqref="L95">
    <cfRule type="expression" priority="91" aboveAverage="0" equalAverage="0" bottom="0" percent="0" rank="0" text="" dxfId="0">
      <formula>AND(ISNUMBER(L95),ISNUMBER(M95),L95&gt;M95)</formula>
    </cfRule>
  </conditionalFormatting>
  <conditionalFormatting sqref="B96">
    <cfRule type="expression" priority="92" aboveAverage="0" equalAverage="0" bottom="0" percent="0" rank="0" text="" dxfId="0">
      <formula>AND(ISNUMBER(B96),ISNUMBER(C96),B96&gt;C96)</formula>
    </cfRule>
  </conditionalFormatting>
  <conditionalFormatting sqref="D96">
    <cfRule type="expression" priority="93" aboveAverage="0" equalAverage="0" bottom="0" percent="0" rank="0" text="" dxfId="0">
      <formula>AND(ISNUMBER(D96),ISNUMBER(E96),D96&gt;E96)</formula>
    </cfRule>
  </conditionalFormatting>
  <conditionalFormatting sqref="F96">
    <cfRule type="expression" priority="94" aboveAverage="0" equalAverage="0" bottom="0" percent="0" rank="0" text="" dxfId="0">
      <formula>AND(ISNUMBER(F96),ISNUMBER(G96),F96&gt;G96)</formula>
    </cfRule>
  </conditionalFormatting>
  <conditionalFormatting sqref="H96">
    <cfRule type="expression" priority="95" aboveAverage="0" equalAverage="0" bottom="0" percent="0" rank="0" text="" dxfId="0">
      <formula>AND(ISNUMBER(H96),ISNUMBER(I96),H96&gt;I96)</formula>
    </cfRule>
  </conditionalFormatting>
  <conditionalFormatting sqref="J96">
    <cfRule type="expression" priority="96" aboveAverage="0" equalAverage="0" bottom="0" percent="0" rank="0" text="" dxfId="0">
      <formula>AND(ISNUMBER(J96),ISNUMBER(K96),J96&gt;K96)</formula>
    </cfRule>
  </conditionalFormatting>
  <conditionalFormatting sqref="L96">
    <cfRule type="expression" priority="97" aboveAverage="0" equalAverage="0" bottom="0" percent="0" rank="0" text="" dxfId="0">
      <formula>AND(ISNUMBER(L96),ISNUMBER(M96),L96&gt;M96)</formula>
    </cfRule>
  </conditionalFormatting>
  <conditionalFormatting sqref="D102">
    <cfRule type="expression" priority="98" aboveAverage="0" equalAverage="0" bottom="0" percent="0" rank="0" text="" dxfId="0">
      <formula>AND(ISNUMBER(D102),ISNUMBER(E102),D102&gt;E102)</formula>
    </cfRule>
  </conditionalFormatting>
  <conditionalFormatting sqref="F102">
    <cfRule type="expression" priority="99" aboveAverage="0" equalAverage="0" bottom="0" percent="0" rank="0" text="" dxfId="0">
      <formula>AND(ISNUMBER(F102),ISNUMBER(G102),F102&gt;G102)</formula>
    </cfRule>
  </conditionalFormatting>
  <conditionalFormatting sqref="H102">
    <cfRule type="expression" priority="100" aboveAverage="0" equalAverage="0" bottom="0" percent="0" rank="0" text="" dxfId="0">
      <formula>AND(ISNUMBER(H102),ISNUMBER(I102),H102&gt;I102)</formula>
    </cfRule>
  </conditionalFormatting>
  <conditionalFormatting sqref="D103">
    <cfRule type="expression" priority="101" aboveAverage="0" equalAverage="0" bottom="0" percent="0" rank="0" text="" dxfId="0">
      <formula>AND(ISNUMBER(D103),ISNUMBER(E103),D103&gt;E103)</formula>
    </cfRule>
  </conditionalFormatting>
  <conditionalFormatting sqref="F103">
    <cfRule type="expression" priority="102" aboveAverage="0" equalAverage="0" bottom="0" percent="0" rank="0" text="" dxfId="0">
      <formula>AND(ISNUMBER(F103),ISNUMBER(G103),F103&gt;G103)</formula>
    </cfRule>
  </conditionalFormatting>
  <conditionalFormatting sqref="H103">
    <cfRule type="expression" priority="103" aboveAverage="0" equalAverage="0" bottom="0" percent="0" rank="0" text="" dxfId="0">
      <formula>AND(ISNUMBER(H103),ISNUMBER(I103),H103&gt;I103)</formula>
    </cfRule>
  </conditionalFormatting>
  <conditionalFormatting sqref="D104">
    <cfRule type="expression" priority="104" aboveAverage="0" equalAverage="0" bottom="0" percent="0" rank="0" text="" dxfId="0">
      <formula>AND(ISNUMBER(D104),ISNUMBER(E104),D104&gt;E104)</formula>
    </cfRule>
  </conditionalFormatting>
  <conditionalFormatting sqref="F104">
    <cfRule type="expression" priority="105" aboveAverage="0" equalAverage="0" bottom="0" percent="0" rank="0" text="" dxfId="0">
      <formula>AND(ISNUMBER(F104),ISNUMBER(G104),F104&gt;G104)</formula>
    </cfRule>
  </conditionalFormatting>
  <conditionalFormatting sqref="H104">
    <cfRule type="expression" priority="106" aboveAverage="0" equalAverage="0" bottom="0" percent="0" rank="0" text="" dxfId="0">
      <formula>AND(ISNUMBER(H104),ISNUMBER(I104),H104&gt;I104)</formula>
    </cfRule>
  </conditionalFormatting>
  <conditionalFormatting sqref="D105">
    <cfRule type="expression" priority="107" aboveAverage="0" equalAverage="0" bottom="0" percent="0" rank="0" text="" dxfId="0">
      <formula>AND(ISNUMBER(D105),ISNUMBER(E105),D105&gt;E105)</formula>
    </cfRule>
  </conditionalFormatting>
  <conditionalFormatting sqref="F105">
    <cfRule type="expression" priority="108" aboveAverage="0" equalAverage="0" bottom="0" percent="0" rank="0" text="" dxfId="0">
      <formula>AND(ISNUMBER(F105),ISNUMBER(G105),F105&gt;G105)</formula>
    </cfRule>
  </conditionalFormatting>
  <conditionalFormatting sqref="H105">
    <cfRule type="expression" priority="109" aboveAverage="0" equalAverage="0" bottom="0" percent="0" rank="0" text="" dxfId="0">
      <formula>AND(ISNUMBER(H105),ISNUMBER(I105),H105&gt;I105)</formula>
    </cfRule>
  </conditionalFormatting>
  <conditionalFormatting sqref="D106">
    <cfRule type="expression" priority="110" aboveAverage="0" equalAverage="0" bottom="0" percent="0" rank="0" text="" dxfId="0">
      <formula>AND(ISNUMBER(D106),ISNUMBER(E106),D106&gt;E106)</formula>
    </cfRule>
  </conditionalFormatting>
  <conditionalFormatting sqref="F106">
    <cfRule type="expression" priority="111" aboveAverage="0" equalAverage="0" bottom="0" percent="0" rank="0" text="" dxfId="0">
      <formula>AND(ISNUMBER(F106),ISNUMBER(G106),F106&gt;G106)</formula>
    </cfRule>
  </conditionalFormatting>
  <conditionalFormatting sqref="H106">
    <cfRule type="expression" priority="112" aboveAverage="0" equalAverage="0" bottom="0" percent="0" rank="0" text="" dxfId="0">
      <formula>AND(ISNUMBER(H106),ISNUMBER(I106),H106&gt;I106)</formula>
    </cfRule>
  </conditionalFormatting>
  <conditionalFormatting sqref="D107">
    <cfRule type="expression" priority="113" aboveAverage="0" equalAverage="0" bottom="0" percent="0" rank="0" text="" dxfId="0">
      <formula>AND(ISNUMBER(D107),ISNUMBER(E107),D107&gt;E107)</formula>
    </cfRule>
  </conditionalFormatting>
  <conditionalFormatting sqref="F107">
    <cfRule type="expression" priority="114" aboveAverage="0" equalAverage="0" bottom="0" percent="0" rank="0" text="" dxfId="0">
      <formula>AND(ISNUMBER(F107),ISNUMBER(G107),F107&gt;G107)</formula>
    </cfRule>
  </conditionalFormatting>
  <conditionalFormatting sqref="H107">
    <cfRule type="expression" priority="115" aboveAverage="0" equalAverage="0" bottom="0" percent="0" rank="0" text="" dxfId="0">
      <formula>AND(ISNUMBER(H107),ISNUMBER(I107),H107&gt;I107)</formula>
    </cfRule>
  </conditionalFormatting>
  <conditionalFormatting sqref="D108">
    <cfRule type="expression" priority="116" aboveAverage="0" equalAverage="0" bottom="0" percent="0" rank="0" text="" dxfId="0">
      <formula>AND(ISNUMBER(D108),ISNUMBER(E108),D108&gt;E108)</formula>
    </cfRule>
  </conditionalFormatting>
  <conditionalFormatting sqref="F108">
    <cfRule type="expression" priority="117" aboveAverage="0" equalAverage="0" bottom="0" percent="0" rank="0" text="" dxfId="0">
      <formula>AND(ISNUMBER(F108),ISNUMBER(G108),F108&gt;G108)</formula>
    </cfRule>
  </conditionalFormatting>
  <conditionalFormatting sqref="H108">
    <cfRule type="expression" priority="118" aboveAverage="0" equalAverage="0" bottom="0" percent="0" rank="0" text="" dxfId="0">
      <formula>AND(ISNUMBER(H108),ISNUMBER(I108),H108&gt;I108)</formula>
    </cfRule>
  </conditionalFormatting>
  <conditionalFormatting sqref="D109">
    <cfRule type="expression" priority="119" aboveAverage="0" equalAverage="0" bottom="0" percent="0" rank="0" text="" dxfId="0">
      <formula>AND(ISNUMBER(D109),ISNUMBER(E109),D109&gt;E109)</formula>
    </cfRule>
  </conditionalFormatting>
  <conditionalFormatting sqref="F109">
    <cfRule type="expression" priority="120" aboveAverage="0" equalAverage="0" bottom="0" percent="0" rank="0" text="" dxfId="0">
      <formula>AND(ISNUMBER(F109),ISNUMBER(G109),F109&gt;G109)</formula>
    </cfRule>
  </conditionalFormatting>
  <conditionalFormatting sqref="H109">
    <cfRule type="expression" priority="121" aboveAverage="0" equalAverage="0" bottom="0" percent="0" rank="0" text="" dxfId="0">
      <formula>AND(ISNUMBER(H109),ISNUMBER(I109),H109&gt;I109)</formula>
    </cfRule>
  </conditionalFormatting>
  <conditionalFormatting sqref="B6:C8">
    <cfRule type="expression" priority="122" aboveAverage="0" equalAverage="0" bottom="0" percent="0" rank="0" text="" dxfId="1">
      <formula>$B$8="Green"</formula>
    </cfRule>
    <cfRule type="expression" priority="123" aboveAverage="0" equalAverage="0" bottom="0" percent="0" rank="0" text="" dxfId="2">
      <formula>$B$8="Amber"</formula>
    </cfRule>
    <cfRule type="expression" priority="124" aboveAverage="0" equalAverage="0" bottom="0" percent="0" rank="0" text="" dxfId="0">
      <formula>$B$8="Red"</formula>
    </cfRule>
    <cfRule type="expression" priority="125" aboveAverage="0" equalAverage="0" bottom="0" percent="0" rank="0" text="" dxfId="3">
      <formula>$B$8="N/A"</formula>
    </cfRule>
  </conditionalFormatting>
  <conditionalFormatting sqref="B10:C12">
    <cfRule type="expression" priority="126" aboveAverage="0" equalAverage="0" bottom="0" percent="0" rank="0" text="" dxfId="1">
      <formula>$B$12="Green"</formula>
    </cfRule>
    <cfRule type="expression" priority="127" aboveAverage="0" equalAverage="0" bottom="0" percent="0" rank="0" text="" dxfId="2">
      <formula>$B$12="Amber"</formula>
    </cfRule>
    <cfRule type="expression" priority="128" aboveAverage="0" equalAverage="0" bottom="0" percent="0" rank="0" text="" dxfId="0">
      <formula>$B$12="Red"</formula>
    </cfRule>
    <cfRule type="expression" priority="129" aboveAverage="0" equalAverage="0" bottom="0" percent="0" rank="0" text="" dxfId="3">
      <formula>$B$12="N/A"</formula>
    </cfRule>
  </conditionalFormatting>
  <conditionalFormatting sqref="D6:E8">
    <cfRule type="expression" priority="130" aboveAverage="0" equalAverage="0" bottom="0" percent="0" rank="0" text="" dxfId="1">
      <formula>$D$8="Green"</formula>
    </cfRule>
    <cfRule type="expression" priority="131" aboveAverage="0" equalAverage="0" bottom="0" percent="0" rank="0" text="" dxfId="2">
      <formula>$D$8="Amber"</formula>
    </cfRule>
    <cfRule type="expression" priority="132" aboveAverage="0" equalAverage="0" bottom="0" percent="0" rank="0" text="" dxfId="0">
      <formula>$D$8="Red"</formula>
    </cfRule>
    <cfRule type="expression" priority="133" aboveAverage="0" equalAverage="0" bottom="0" percent="0" rank="0" text="" dxfId="3">
      <formula>$D$8="N/A"</formula>
    </cfRule>
  </conditionalFormatting>
  <conditionalFormatting sqref="D10:E12">
    <cfRule type="expression" priority="134" aboveAverage="0" equalAverage="0" bottom="0" percent="0" rank="0" text="" dxfId="1">
      <formula>$D$12="Green"</formula>
    </cfRule>
    <cfRule type="expression" priority="135" aboveAverage="0" equalAverage="0" bottom="0" percent="0" rank="0" text="" dxfId="2">
      <formula>$D$12="Amber"</formula>
    </cfRule>
    <cfRule type="expression" priority="136" aboveAverage="0" equalAverage="0" bottom="0" percent="0" rank="0" text="" dxfId="0">
      <formula>$D$12="Red"</formula>
    </cfRule>
    <cfRule type="expression" priority="137" aboveAverage="0" equalAverage="0" bottom="0" percent="0" rank="0" text="" dxfId="3">
      <formula>$D$12="N/A"</formula>
    </cfRule>
  </conditionalFormatting>
  <conditionalFormatting sqref="F6:G8">
    <cfRule type="expression" priority="138" aboveAverage="0" equalAverage="0" bottom="0" percent="0" rank="0" text="" dxfId="1">
      <formula>$F$8="Green"</formula>
    </cfRule>
    <cfRule type="expression" priority="139" aboveAverage="0" equalAverage="0" bottom="0" percent="0" rank="0" text="" dxfId="2">
      <formula>$F$8="Amber"</formula>
    </cfRule>
    <cfRule type="expression" priority="140" aboveAverage="0" equalAverage="0" bottom="0" percent="0" rank="0" text="" dxfId="0">
      <formula>$F$8="Red"</formula>
    </cfRule>
    <cfRule type="expression" priority="141" aboveAverage="0" equalAverage="0" bottom="0" percent="0" rank="0" text="" dxfId="3">
      <formula>$F$8="N/A"</formula>
    </cfRule>
  </conditionalFormatting>
  <conditionalFormatting sqref="F10:G12">
    <cfRule type="expression" priority="142" aboveAverage="0" equalAverage="0" bottom="0" percent="0" rank="0" text="" dxfId="1">
      <formula>$F$12="Green"</formula>
    </cfRule>
    <cfRule type="expression" priority="143" aboveAverage="0" equalAverage="0" bottom="0" percent="0" rank="0" text="" dxfId="2">
      <formula>$F$12="Amber"</formula>
    </cfRule>
    <cfRule type="expression" priority="144" aboveAverage="0" equalAverage="0" bottom="0" percent="0" rank="0" text="" dxfId="0">
      <formula>$F$12="Red"</formula>
    </cfRule>
    <cfRule type="expression" priority="145" aboveAverage="0" equalAverage="0" bottom="0" percent="0" rank="0" text="" dxfId="3">
      <formula>$F$12="N/A"</formula>
    </cfRule>
  </conditionalFormatting>
  <conditionalFormatting sqref="H6:I8">
    <cfRule type="expression" priority="146" aboveAverage="0" equalAverage="0" bottom="0" percent="0" rank="0" text="" dxfId="1">
      <formula>$H$8="Green"</formula>
    </cfRule>
    <cfRule type="expression" priority="147" aboveAverage="0" equalAverage="0" bottom="0" percent="0" rank="0" text="" dxfId="2">
      <formula>$H$8="Amber"</formula>
    </cfRule>
    <cfRule type="expression" priority="148" aboveAverage="0" equalAverage="0" bottom="0" percent="0" rank="0" text="" dxfId="0">
      <formula>$H$8="Red"</formula>
    </cfRule>
    <cfRule type="expression" priority="149" aboveAverage="0" equalAverage="0" bottom="0" percent="0" rank="0" text="" dxfId="3">
      <formula>$H$8="N/A"</formula>
    </cfRule>
  </conditionalFormatting>
  <conditionalFormatting sqref="H10:I12">
    <cfRule type="expression" priority="150" aboveAverage="0" equalAverage="0" bottom="0" percent="0" rank="0" text="" dxfId="1">
      <formula>$H$12="Green"</formula>
    </cfRule>
    <cfRule type="expression" priority="151" aboveAverage="0" equalAverage="0" bottom="0" percent="0" rank="0" text="" dxfId="2">
      <formula>$H$12="Amber"</formula>
    </cfRule>
    <cfRule type="expression" priority="152" aboveAverage="0" equalAverage="0" bottom="0" percent="0" rank="0" text="" dxfId="0">
      <formula>$H$12="Red"</formula>
    </cfRule>
    <cfRule type="expression" priority="153" aboveAverage="0" equalAverage="0" bottom="0" percent="0" rank="0" text="" dxfId="3">
      <formula>$H$12="N/A"</formula>
    </cfRule>
  </conditionalFormatting>
  <conditionalFormatting sqref="J6:K8">
    <cfRule type="expression" priority="154" aboveAverage="0" equalAverage="0" bottom="0" percent="0" rank="0" text="" dxfId="1">
      <formula>$J$8="Green"</formula>
    </cfRule>
    <cfRule type="expression" priority="155" aboveAverage="0" equalAverage="0" bottom="0" percent="0" rank="0" text="" dxfId="2">
      <formula>$J$8="Amber"</formula>
    </cfRule>
    <cfRule type="expression" priority="156" aboveAverage="0" equalAverage="0" bottom="0" percent="0" rank="0" text="" dxfId="0">
      <formula>$J$8="Red"</formula>
    </cfRule>
    <cfRule type="expression" priority="157" aboveAverage="0" equalAverage="0" bottom="0" percent="0" rank="0" text="" dxfId="3">
      <formula>$J$8="N/A"</formula>
    </cfRule>
  </conditionalFormatting>
  <conditionalFormatting sqref="J10:K12">
    <cfRule type="expression" priority="158" aboveAverage="0" equalAverage="0" bottom="0" percent="0" rank="0" text="" dxfId="1">
      <formula>$J$12="Green"</formula>
    </cfRule>
    <cfRule type="expression" priority="159" aboveAverage="0" equalAverage="0" bottom="0" percent="0" rank="0" text="" dxfId="2">
      <formula>$J$12="Amber"</formula>
    </cfRule>
    <cfRule type="expression" priority="160" aboveAverage="0" equalAverage="0" bottom="0" percent="0" rank="0" text="" dxfId="0">
      <formula>$J$12="Red"</formula>
    </cfRule>
    <cfRule type="expression" priority="161" aboveAverage="0" equalAverage="0" bottom="0" percent="0" rank="0" text="" dxfId="3">
      <formula>$J$12="N/A"</formula>
    </cfRule>
  </conditionalFormatting>
  <conditionalFormatting sqref="L6:M8">
    <cfRule type="expression" priority="162" aboveAverage="0" equalAverage="0" bottom="0" percent="0" rank="0" text="" dxfId="1">
      <formula>$L$8="Green"</formula>
    </cfRule>
    <cfRule type="expression" priority="163" aboveAverage="0" equalAverage="0" bottom="0" percent="0" rank="0" text="" dxfId="2">
      <formula>$L$8="Amber"</formula>
    </cfRule>
    <cfRule type="expression" priority="164" aboveAverage="0" equalAverage="0" bottom="0" percent="0" rank="0" text="" dxfId="0">
      <formula>$L$8="Red"</formula>
    </cfRule>
    <cfRule type="expression" priority="165" aboveAverage="0" equalAverage="0" bottom="0" percent="0" rank="0" text="" dxfId="3">
      <formula>$L$8="N/A"</formula>
    </cfRule>
  </conditionalFormatting>
  <conditionalFormatting sqref="L10:M12">
    <cfRule type="expression" priority="166" aboveAverage="0" equalAverage="0" bottom="0" percent="0" rank="0" text="" dxfId="1">
      <formula>$L$12="Green"</formula>
    </cfRule>
    <cfRule type="expression" priority="167" aboveAverage="0" equalAverage="0" bottom="0" percent="0" rank="0" text="" dxfId="2">
      <formula>$L$12="Amber"</formula>
    </cfRule>
    <cfRule type="expression" priority="168" aboveAverage="0" equalAverage="0" bottom="0" percent="0" rank="0" text="" dxfId="0">
      <formula>$L$12="Red"</formula>
    </cfRule>
    <cfRule type="expression" priority="169" aboveAverage="0" equalAverage="0" bottom="0" percent="0" rank="0" text="" dxfId="3">
      <formula>$L$12="N/A"</formula>
    </cfRule>
  </conditionalFormatting>
  <conditionalFormatting sqref="B18:C20">
    <cfRule type="expression" priority="170" aboveAverage="0" equalAverage="0" bottom="0" percent="0" rank="0" text="" dxfId="1">
      <formula>$B$20="Green"</formula>
    </cfRule>
    <cfRule type="expression" priority="171" aboveAverage="0" equalAverage="0" bottom="0" percent="0" rank="0" text="" dxfId="2">
      <formula>$B$20="Amber"</formula>
    </cfRule>
    <cfRule type="expression" priority="172" aboveAverage="0" equalAverage="0" bottom="0" percent="0" rank="0" text="" dxfId="0">
      <formula>$B$20="Red"</formula>
    </cfRule>
    <cfRule type="expression" priority="173" aboveAverage="0" equalAverage="0" bottom="0" percent="0" rank="0" text="" dxfId="3">
      <formula>$B$20="N/A"</formula>
    </cfRule>
  </conditionalFormatting>
  <conditionalFormatting sqref="D18:E20">
    <cfRule type="expression" priority="174" aboveAverage="0" equalAverage="0" bottom="0" percent="0" rank="0" text="" dxfId="1">
      <formula>$D$20="Green"</formula>
    </cfRule>
    <cfRule type="expression" priority="175" aboveAverage="0" equalAverage="0" bottom="0" percent="0" rank="0" text="" dxfId="2">
      <formula>$D$20="Amber"</formula>
    </cfRule>
    <cfRule type="expression" priority="176" aboveAverage="0" equalAverage="0" bottom="0" percent="0" rank="0" text="" dxfId="0">
      <formula>$D$20="Red"</formula>
    </cfRule>
    <cfRule type="expression" priority="177" aboveAverage="0" equalAverage="0" bottom="0" percent="0" rank="0" text="" dxfId="3">
      <formula>$D$20="N/A"</formula>
    </cfRule>
  </conditionalFormatting>
  <conditionalFormatting sqref="F18:G20">
    <cfRule type="expression" priority="178" aboveAverage="0" equalAverage="0" bottom="0" percent="0" rank="0" text="" dxfId="1">
      <formula>$F$20="Green"</formula>
    </cfRule>
    <cfRule type="expression" priority="179" aboveAverage="0" equalAverage="0" bottom="0" percent="0" rank="0" text="" dxfId="2">
      <formula>$F$20="Amber"</formula>
    </cfRule>
    <cfRule type="expression" priority="180" aboveAverage="0" equalAverage="0" bottom="0" percent="0" rank="0" text="" dxfId="0">
      <formula>$F$20="Red"</formula>
    </cfRule>
    <cfRule type="expression" priority="181" aboveAverage="0" equalAverage="0" bottom="0" percent="0" rank="0" text="" dxfId="3">
      <formula>$F$20="N/A"</formula>
    </cfRule>
  </conditionalFormatting>
  <conditionalFormatting sqref="H18:I20">
    <cfRule type="expression" priority="182" aboveAverage="0" equalAverage="0" bottom="0" percent="0" rank="0" text="" dxfId="1">
      <formula>$H$20="Green"</formula>
    </cfRule>
    <cfRule type="expression" priority="183" aboveAverage="0" equalAverage="0" bottom="0" percent="0" rank="0" text="" dxfId="2">
      <formula>$H$20="Amber"</formula>
    </cfRule>
    <cfRule type="expression" priority="184" aboveAverage="0" equalAverage="0" bottom="0" percent="0" rank="0" text="" dxfId="0">
      <formula>$H$20="Red"</formula>
    </cfRule>
    <cfRule type="expression" priority="185" aboveAverage="0" equalAverage="0" bottom="0" percent="0" rank="0" text="" dxfId="3">
      <formula>$H$20="N/A"</formula>
    </cfRule>
  </conditionalFormatting>
  <conditionalFormatting sqref="B49">
    <cfRule type="expression" priority="186" aboveAverage="0" equalAverage="0" bottom="0" percent="0" rank="0" text="" dxfId="1">
      <formula>AND(ISNUMBER(B49),B49&gt;PBI_G)</formula>
    </cfRule>
    <cfRule type="expression" priority="187" aboveAverage="0" equalAverage="0" bottom="0" percent="0" rank="0" text="" dxfId="2">
      <formula>AND(ISNUMBER(B49),B49&lt;=PBI_G,B49&gt;=PBI_R)</formula>
    </cfRule>
    <cfRule type="expression" priority="188" aboveAverage="0" equalAverage="0" bottom="0" percent="0" rank="0" text="" dxfId="0">
      <formula>AND(ISNUMBER(B49),B49&lt;PBI_R)</formula>
    </cfRule>
    <cfRule type="expression" priority="189" aboveAverage="0" equalAverage="0" bottom="0" percent="0" rank="0" text="" dxfId="3">
      <formula>B49="N/A"</formula>
    </cfRule>
  </conditionalFormatting>
  <conditionalFormatting sqref="D49">
    <cfRule type="expression" priority="190" aboveAverage="0" equalAverage="0" bottom="0" percent="0" rank="0" text="" dxfId="1">
      <formula>AND(ISNUMBER(D49),D49&gt;PBI_G)</formula>
    </cfRule>
    <cfRule type="expression" priority="191" aboveAverage="0" equalAverage="0" bottom="0" percent="0" rank="0" text="" dxfId="2">
      <formula>AND(ISNUMBER(D49),D49&lt;=PBI_G,D49&gt;=PBI_R)</formula>
    </cfRule>
    <cfRule type="expression" priority="192" aboveAverage="0" equalAverage="0" bottom="0" percent="0" rank="0" text="" dxfId="0">
      <formula>AND(ISNUMBER(D49),D49&lt;PBI_R)</formula>
    </cfRule>
    <cfRule type="expression" priority="193" aboveAverage="0" equalAverage="0" bottom="0" percent="0" rank="0" text="" dxfId="3">
      <formula>D49="N/A"</formula>
    </cfRule>
  </conditionalFormatting>
  <conditionalFormatting sqref="F49">
    <cfRule type="expression" priority="194" aboveAverage="0" equalAverage="0" bottom="0" percent="0" rank="0" text="" dxfId="1">
      <formula>AND(ISNUMBER(F49),F49&gt;PBI_G)</formula>
    </cfRule>
    <cfRule type="expression" priority="195" aboveAverage="0" equalAverage="0" bottom="0" percent="0" rank="0" text="" dxfId="2">
      <formula>AND(ISNUMBER(F49),F49&lt;=PBI_G,F49&gt;=PBI_R)</formula>
    </cfRule>
    <cfRule type="expression" priority="196" aboveAverage="0" equalAverage="0" bottom="0" percent="0" rank="0" text="" dxfId="0">
      <formula>AND(ISNUMBER(F49),F49&lt;PBI_R)</formula>
    </cfRule>
    <cfRule type="expression" priority="197" aboveAverage="0" equalAverage="0" bottom="0" percent="0" rank="0" text="" dxfId="3">
      <formula>F49="N/A"</formula>
    </cfRule>
  </conditionalFormatting>
  <conditionalFormatting sqref="H49">
    <cfRule type="expression" priority="198" aboveAverage="0" equalAverage="0" bottom="0" percent="0" rank="0" text="" dxfId="1">
      <formula>AND(ISNUMBER(H49),H49&gt;PBI_G)</formula>
    </cfRule>
    <cfRule type="expression" priority="199" aboveAverage="0" equalAverage="0" bottom="0" percent="0" rank="0" text="" dxfId="2">
      <formula>AND(ISNUMBER(H49),H49&lt;=PBI_G,H49&gt;=PBI_R)</formula>
    </cfRule>
    <cfRule type="expression" priority="200" aboveAverage="0" equalAverage="0" bottom="0" percent="0" rank="0" text="" dxfId="0">
      <formula>AND(ISNUMBER(H49),H49&lt;PBI_R)</formula>
    </cfRule>
    <cfRule type="expression" priority="201" aboveAverage="0" equalAverage="0" bottom="0" percent="0" rank="0" text="" dxfId="3">
      <formula>H49="N/A"</formula>
    </cfRule>
  </conditionalFormatting>
  <conditionalFormatting sqref="J49">
    <cfRule type="expression" priority="202" aboveAverage="0" equalAverage="0" bottom="0" percent="0" rank="0" text="" dxfId="1">
      <formula>AND(ISNUMBER(J49),J49&gt;PBI_G)</formula>
    </cfRule>
    <cfRule type="expression" priority="203" aboveAverage="0" equalAverage="0" bottom="0" percent="0" rank="0" text="" dxfId="2">
      <formula>AND(ISNUMBER(J49),J49&lt;=PBI_G,J49&gt;=PBI_R)</formula>
    </cfRule>
    <cfRule type="expression" priority="204" aboveAverage="0" equalAverage="0" bottom="0" percent="0" rank="0" text="" dxfId="0">
      <formula>AND(ISNUMBER(J49),J49&lt;PBI_R)</formula>
    </cfRule>
    <cfRule type="expression" priority="205" aboveAverage="0" equalAverage="0" bottom="0" percent="0" rank="0" text="" dxfId="3">
      <formula>J49="N/A"</formula>
    </cfRule>
  </conditionalFormatting>
  <conditionalFormatting sqref="L49">
    <cfRule type="expression" priority="206" aboveAverage="0" equalAverage="0" bottom="0" percent="0" rank="0" text="" dxfId="1">
      <formula>AND(ISNUMBER(L49),L49&gt;PBI_G)</formula>
    </cfRule>
    <cfRule type="expression" priority="207" aboveAverage="0" equalAverage="0" bottom="0" percent="0" rank="0" text="" dxfId="2">
      <formula>AND(ISNUMBER(L49),L49&lt;=PBI_G,L49&gt;=PBI_R)</formula>
    </cfRule>
    <cfRule type="expression" priority="208" aboveAverage="0" equalAverage="0" bottom="0" percent="0" rank="0" text="" dxfId="0">
      <formula>AND(ISNUMBER(L49),L49&lt;PBI_R)</formula>
    </cfRule>
    <cfRule type="expression" priority="209" aboveAverage="0" equalAverage="0" bottom="0" percent="0" rank="0" text="" dxfId="3">
      <formula>L49="N/A"</formula>
    </cfRule>
  </conditionalFormatting>
  <conditionalFormatting sqref="B50">
    <cfRule type="expression" priority="210" aboveAverage="0" equalAverage="0" bottom="0" percent="0" rank="0" text="" dxfId="1">
      <formula>AND(ISNUMBER(B50),B50&gt;PBI_G)</formula>
    </cfRule>
    <cfRule type="expression" priority="211" aboveAverage="0" equalAverage="0" bottom="0" percent="0" rank="0" text="" dxfId="2">
      <formula>AND(ISNUMBER(B50),B50&lt;=PBI_G,B50&gt;=PBI_R)</formula>
    </cfRule>
    <cfRule type="expression" priority="212" aboveAverage="0" equalAverage="0" bottom="0" percent="0" rank="0" text="" dxfId="0">
      <formula>AND(ISNUMBER(B50),B50&lt;PBI_R)</formula>
    </cfRule>
    <cfRule type="expression" priority="213" aboveAverage="0" equalAverage="0" bottom="0" percent="0" rank="0" text="" dxfId="3">
      <formula>B50="N/A"</formula>
    </cfRule>
  </conditionalFormatting>
  <conditionalFormatting sqref="D50">
    <cfRule type="expression" priority="214" aboveAverage="0" equalAverage="0" bottom="0" percent="0" rank="0" text="" dxfId="1">
      <formula>AND(ISNUMBER(D50),D50&gt;PBI_G)</formula>
    </cfRule>
    <cfRule type="expression" priority="215" aboveAverage="0" equalAverage="0" bottom="0" percent="0" rank="0" text="" dxfId="2">
      <formula>AND(ISNUMBER(D50),D50&lt;=PBI_G,D50&gt;=PBI_R)</formula>
    </cfRule>
    <cfRule type="expression" priority="216" aboveAverage="0" equalAverage="0" bottom="0" percent="0" rank="0" text="" dxfId="0">
      <formula>AND(ISNUMBER(D50),D50&lt;PBI_R)</formula>
    </cfRule>
    <cfRule type="expression" priority="217" aboveAverage="0" equalAverage="0" bottom="0" percent="0" rank="0" text="" dxfId="3">
      <formula>D50="N/A"</formula>
    </cfRule>
  </conditionalFormatting>
  <conditionalFormatting sqref="F50">
    <cfRule type="expression" priority="218" aboveAverage="0" equalAverage="0" bottom="0" percent="0" rank="0" text="" dxfId="1">
      <formula>AND(ISNUMBER(F50),F50&gt;PBI_G)</formula>
    </cfRule>
    <cfRule type="expression" priority="219" aboveAverage="0" equalAverage="0" bottom="0" percent="0" rank="0" text="" dxfId="2">
      <formula>AND(ISNUMBER(F50),F50&lt;=PBI_G,F50&gt;=PBI_R)</formula>
    </cfRule>
    <cfRule type="expression" priority="220" aboveAverage="0" equalAverage="0" bottom="0" percent="0" rank="0" text="" dxfId="0">
      <formula>AND(ISNUMBER(F50),F50&lt;PBI_R)</formula>
    </cfRule>
    <cfRule type="expression" priority="221" aboveAverage="0" equalAverage="0" bottom="0" percent="0" rank="0" text="" dxfId="3">
      <formula>F50="N/A"</formula>
    </cfRule>
  </conditionalFormatting>
  <conditionalFormatting sqref="H50">
    <cfRule type="expression" priority="222" aboveAverage="0" equalAverage="0" bottom="0" percent="0" rank="0" text="" dxfId="1">
      <formula>AND(ISNUMBER(H50),H50&gt;PBI_G)</formula>
    </cfRule>
    <cfRule type="expression" priority="223" aboveAverage="0" equalAverage="0" bottom="0" percent="0" rank="0" text="" dxfId="2">
      <formula>AND(ISNUMBER(H50),H50&lt;=PBI_G,H50&gt;=PBI_R)</formula>
    </cfRule>
    <cfRule type="expression" priority="224" aboveAverage="0" equalAverage="0" bottom="0" percent="0" rank="0" text="" dxfId="0">
      <formula>AND(ISNUMBER(H50),H50&lt;PBI_R)</formula>
    </cfRule>
    <cfRule type="expression" priority="225" aboveAverage="0" equalAverage="0" bottom="0" percent="0" rank="0" text="" dxfId="3">
      <formula>H50="N/A"</formula>
    </cfRule>
  </conditionalFormatting>
  <conditionalFormatting sqref="J50">
    <cfRule type="expression" priority="226" aboveAverage="0" equalAverage="0" bottom="0" percent="0" rank="0" text="" dxfId="1">
      <formula>AND(ISNUMBER(J50),J50&gt;PBI_G)</formula>
    </cfRule>
    <cfRule type="expression" priority="227" aboveAverage="0" equalAverage="0" bottom="0" percent="0" rank="0" text="" dxfId="2">
      <formula>AND(ISNUMBER(J50),J50&lt;=PBI_G,J50&gt;=PBI_R)</formula>
    </cfRule>
    <cfRule type="expression" priority="228" aboveAverage="0" equalAverage="0" bottom="0" percent="0" rank="0" text="" dxfId="0">
      <formula>AND(ISNUMBER(J50),J50&lt;PBI_R)</formula>
    </cfRule>
    <cfRule type="expression" priority="229" aboveAverage="0" equalAverage="0" bottom="0" percent="0" rank="0" text="" dxfId="3">
      <formula>J50="N/A"</formula>
    </cfRule>
  </conditionalFormatting>
  <conditionalFormatting sqref="L50">
    <cfRule type="expression" priority="230" aboveAverage="0" equalAverage="0" bottom="0" percent="0" rank="0" text="" dxfId="1">
      <formula>AND(ISNUMBER(L50),L50&gt;PBI_G)</formula>
    </cfRule>
    <cfRule type="expression" priority="231" aboveAverage="0" equalAverage="0" bottom="0" percent="0" rank="0" text="" dxfId="2">
      <formula>AND(ISNUMBER(L50),L50&lt;=PBI_G,L50&gt;=PBI_R)</formula>
    </cfRule>
    <cfRule type="expression" priority="232" aboveAverage="0" equalAverage="0" bottom="0" percent="0" rank="0" text="" dxfId="0">
      <formula>AND(ISNUMBER(L50),L50&lt;PBI_R)</formula>
    </cfRule>
    <cfRule type="expression" priority="233" aboveAverage="0" equalAverage="0" bottom="0" percent="0" rank="0" text="" dxfId="3">
      <formula>L50="N/A"</formula>
    </cfRule>
  </conditionalFormatting>
  <conditionalFormatting sqref="B51">
    <cfRule type="expression" priority="234" aboveAverage="0" equalAverage="0" bottom="0" percent="0" rank="0" text="" dxfId="1">
      <formula>AND(ISNUMBER(B51),B51&gt;PBI_G)</formula>
    </cfRule>
    <cfRule type="expression" priority="235" aboveAverage="0" equalAverage="0" bottom="0" percent="0" rank="0" text="" dxfId="2">
      <formula>AND(ISNUMBER(B51),B51&lt;=PBI_G,B51&gt;=PBI_R)</formula>
    </cfRule>
    <cfRule type="expression" priority="236" aboveAverage="0" equalAverage="0" bottom="0" percent="0" rank="0" text="" dxfId="0">
      <formula>AND(ISNUMBER(B51),B51&lt;PBI_R)</formula>
    </cfRule>
    <cfRule type="expression" priority="237" aboveAverage="0" equalAverage="0" bottom="0" percent="0" rank="0" text="" dxfId="3">
      <formula>B51="N/A"</formula>
    </cfRule>
  </conditionalFormatting>
  <conditionalFormatting sqref="D51">
    <cfRule type="expression" priority="238" aboveAverage="0" equalAverage="0" bottom="0" percent="0" rank="0" text="" dxfId="1">
      <formula>AND(ISNUMBER(D51),D51&gt;PBI_G)</formula>
    </cfRule>
    <cfRule type="expression" priority="239" aboveAverage="0" equalAverage="0" bottom="0" percent="0" rank="0" text="" dxfId="2">
      <formula>AND(ISNUMBER(D51),D51&lt;=PBI_G,D51&gt;=PBI_R)</formula>
    </cfRule>
    <cfRule type="expression" priority="240" aboveAverage="0" equalAverage="0" bottom="0" percent="0" rank="0" text="" dxfId="0">
      <formula>AND(ISNUMBER(D51),D51&lt;PBI_R)</formula>
    </cfRule>
    <cfRule type="expression" priority="241" aboveAverage="0" equalAverage="0" bottom="0" percent="0" rank="0" text="" dxfId="3">
      <formula>D51="N/A"</formula>
    </cfRule>
  </conditionalFormatting>
  <conditionalFormatting sqref="F51">
    <cfRule type="expression" priority="242" aboveAverage="0" equalAverage="0" bottom="0" percent="0" rank="0" text="" dxfId="1">
      <formula>AND(ISNUMBER(F51),F51&gt;PBI_G)</formula>
    </cfRule>
    <cfRule type="expression" priority="243" aboveAverage="0" equalAverage="0" bottom="0" percent="0" rank="0" text="" dxfId="2">
      <formula>AND(ISNUMBER(F51),F51&lt;=PBI_G,F51&gt;=PBI_R)</formula>
    </cfRule>
    <cfRule type="expression" priority="244" aboveAverage="0" equalAverage="0" bottom="0" percent="0" rank="0" text="" dxfId="0">
      <formula>AND(ISNUMBER(F51),F51&lt;PBI_R)</formula>
    </cfRule>
    <cfRule type="expression" priority="245" aboveAverage="0" equalAverage="0" bottom="0" percent="0" rank="0" text="" dxfId="3">
      <formula>F51="N/A"</formula>
    </cfRule>
  </conditionalFormatting>
  <conditionalFormatting sqref="H51">
    <cfRule type="expression" priority="246" aboveAverage="0" equalAverage="0" bottom="0" percent="0" rank="0" text="" dxfId="1">
      <formula>AND(ISNUMBER(H51),H51&gt;PBI_G)</formula>
    </cfRule>
    <cfRule type="expression" priority="247" aboveAverage="0" equalAverage="0" bottom="0" percent="0" rank="0" text="" dxfId="2">
      <formula>AND(ISNUMBER(H51),H51&lt;=PBI_G,H51&gt;=PBI_R)</formula>
    </cfRule>
    <cfRule type="expression" priority="248" aboveAverage="0" equalAverage="0" bottom="0" percent="0" rank="0" text="" dxfId="0">
      <formula>AND(ISNUMBER(H51),H51&lt;PBI_R)</formula>
    </cfRule>
    <cfRule type="expression" priority="249" aboveAverage="0" equalAverage="0" bottom="0" percent="0" rank="0" text="" dxfId="3">
      <formula>H51="N/A"</formula>
    </cfRule>
  </conditionalFormatting>
  <conditionalFormatting sqref="J51">
    <cfRule type="expression" priority="250" aboveAverage="0" equalAverage="0" bottom="0" percent="0" rank="0" text="" dxfId="1">
      <formula>AND(ISNUMBER(J51),J51&gt;PBI_G)</formula>
    </cfRule>
    <cfRule type="expression" priority="251" aboveAverage="0" equalAverage="0" bottom="0" percent="0" rank="0" text="" dxfId="2">
      <formula>AND(ISNUMBER(J51),J51&lt;=PBI_G,J51&gt;=PBI_R)</formula>
    </cfRule>
    <cfRule type="expression" priority="252" aboveAverage="0" equalAverage="0" bottom="0" percent="0" rank="0" text="" dxfId="0">
      <formula>AND(ISNUMBER(J51),J51&lt;PBI_R)</formula>
    </cfRule>
    <cfRule type="expression" priority="253" aboveAverage="0" equalAverage="0" bottom="0" percent="0" rank="0" text="" dxfId="3">
      <formula>J51="N/A"</formula>
    </cfRule>
  </conditionalFormatting>
  <conditionalFormatting sqref="L51">
    <cfRule type="expression" priority="254" aboveAverage="0" equalAverage="0" bottom="0" percent="0" rank="0" text="" dxfId="1">
      <formula>AND(ISNUMBER(L51),L51&gt;PBI_G)</formula>
    </cfRule>
    <cfRule type="expression" priority="255" aboveAverage="0" equalAverage="0" bottom="0" percent="0" rank="0" text="" dxfId="2">
      <formula>AND(ISNUMBER(L51),L51&lt;=PBI_G,L51&gt;=PBI_R)</formula>
    </cfRule>
    <cfRule type="expression" priority="256" aboveAverage="0" equalAverage="0" bottom="0" percent="0" rank="0" text="" dxfId="0">
      <formula>AND(ISNUMBER(L51),L51&lt;PBI_R)</formula>
    </cfRule>
    <cfRule type="expression" priority="257" aboveAverage="0" equalAverage="0" bottom="0" percent="0" rank="0" text="" dxfId="3">
      <formula>L51="N/A"</formula>
    </cfRule>
  </conditionalFormatting>
  <conditionalFormatting sqref="B52">
    <cfRule type="expression" priority="258" aboveAverage="0" equalAverage="0" bottom="0" percent="0" rank="0" text="" dxfId="1">
      <formula>AND(ISNUMBER(B52),B52&gt;PBI_G)</formula>
    </cfRule>
    <cfRule type="expression" priority="259" aboveAverage="0" equalAverage="0" bottom="0" percent="0" rank="0" text="" dxfId="2">
      <formula>AND(ISNUMBER(B52),B52&lt;=PBI_G,B52&gt;=PBI_R)</formula>
    </cfRule>
    <cfRule type="expression" priority="260" aboveAverage="0" equalAverage="0" bottom="0" percent="0" rank="0" text="" dxfId="0">
      <formula>AND(ISNUMBER(B52),B52&lt;PBI_R)</formula>
    </cfRule>
    <cfRule type="expression" priority="261" aboveAverage="0" equalAverage="0" bottom="0" percent="0" rank="0" text="" dxfId="3">
      <formula>B52="N/A"</formula>
    </cfRule>
  </conditionalFormatting>
  <conditionalFormatting sqref="D52">
    <cfRule type="expression" priority="262" aboveAverage="0" equalAverage="0" bottom="0" percent="0" rank="0" text="" dxfId="1">
      <formula>AND(ISNUMBER(D52),D52&gt;PBI_G)</formula>
    </cfRule>
    <cfRule type="expression" priority="263" aboveAverage="0" equalAverage="0" bottom="0" percent="0" rank="0" text="" dxfId="2">
      <formula>AND(ISNUMBER(D52),D52&lt;=PBI_G,D52&gt;=PBI_R)</formula>
    </cfRule>
    <cfRule type="expression" priority="264" aboveAverage="0" equalAverage="0" bottom="0" percent="0" rank="0" text="" dxfId="0">
      <formula>AND(ISNUMBER(D52),D52&lt;PBI_R)</formula>
    </cfRule>
    <cfRule type="expression" priority="265" aboveAverage="0" equalAverage="0" bottom="0" percent="0" rank="0" text="" dxfId="3">
      <formula>D52="N/A"</formula>
    </cfRule>
  </conditionalFormatting>
  <conditionalFormatting sqref="F52">
    <cfRule type="expression" priority="266" aboveAverage="0" equalAverage="0" bottom="0" percent="0" rank="0" text="" dxfId="1">
      <formula>AND(ISNUMBER(F52),F52&gt;PBI_G)</formula>
    </cfRule>
    <cfRule type="expression" priority="267" aboveAverage="0" equalAverage="0" bottom="0" percent="0" rank="0" text="" dxfId="2">
      <formula>AND(ISNUMBER(F52),F52&lt;=PBI_G,F52&gt;=PBI_R)</formula>
    </cfRule>
    <cfRule type="expression" priority="268" aboveAverage="0" equalAverage="0" bottom="0" percent="0" rank="0" text="" dxfId="0">
      <formula>AND(ISNUMBER(F52),F52&lt;PBI_R)</formula>
    </cfRule>
    <cfRule type="expression" priority="269" aboveAverage="0" equalAverage="0" bottom="0" percent="0" rank="0" text="" dxfId="3">
      <formula>F52="N/A"</formula>
    </cfRule>
  </conditionalFormatting>
  <conditionalFormatting sqref="H52">
    <cfRule type="expression" priority="270" aboveAverage="0" equalAverage="0" bottom="0" percent="0" rank="0" text="" dxfId="1">
      <formula>AND(ISNUMBER(H52),H52&gt;PBI_G)</formula>
    </cfRule>
    <cfRule type="expression" priority="271" aboveAverage="0" equalAverage="0" bottom="0" percent="0" rank="0" text="" dxfId="2">
      <formula>AND(ISNUMBER(H52),H52&lt;=PBI_G,H52&gt;=PBI_R)</formula>
    </cfRule>
    <cfRule type="expression" priority="272" aboveAverage="0" equalAverage="0" bottom="0" percent="0" rank="0" text="" dxfId="0">
      <formula>AND(ISNUMBER(H52),H52&lt;PBI_R)</formula>
    </cfRule>
    <cfRule type="expression" priority="273" aboveAverage="0" equalAverage="0" bottom="0" percent="0" rank="0" text="" dxfId="3">
      <formula>H52="N/A"</formula>
    </cfRule>
  </conditionalFormatting>
  <conditionalFormatting sqref="J52">
    <cfRule type="expression" priority="274" aboveAverage="0" equalAverage="0" bottom="0" percent="0" rank="0" text="" dxfId="1">
      <formula>AND(ISNUMBER(J52),J52&gt;PBI_G)</formula>
    </cfRule>
    <cfRule type="expression" priority="275" aboveAverage="0" equalAverage="0" bottom="0" percent="0" rank="0" text="" dxfId="2">
      <formula>AND(ISNUMBER(J52),J52&lt;=PBI_G,J52&gt;=PBI_R)</formula>
    </cfRule>
    <cfRule type="expression" priority="276" aboveAverage="0" equalAverage="0" bottom="0" percent="0" rank="0" text="" dxfId="0">
      <formula>AND(ISNUMBER(J52),J52&lt;PBI_R)</formula>
    </cfRule>
    <cfRule type="expression" priority="277" aboveAverage="0" equalAverage="0" bottom="0" percent="0" rank="0" text="" dxfId="3">
      <formula>J52="N/A"</formula>
    </cfRule>
  </conditionalFormatting>
  <conditionalFormatting sqref="L52">
    <cfRule type="expression" priority="278" aboveAverage="0" equalAverage="0" bottom="0" percent="0" rank="0" text="" dxfId="1">
      <formula>AND(ISNUMBER(L52),L52&gt;PBI_G)</formula>
    </cfRule>
    <cfRule type="expression" priority="279" aboveAverage="0" equalAverage="0" bottom="0" percent="0" rank="0" text="" dxfId="2">
      <formula>AND(ISNUMBER(L52),L52&lt;=PBI_G,L52&gt;=PBI_R)</formula>
    </cfRule>
    <cfRule type="expression" priority="280" aboveAverage="0" equalAverage="0" bottom="0" percent="0" rank="0" text="" dxfId="0">
      <formula>AND(ISNUMBER(L52),L52&lt;PBI_R)</formula>
    </cfRule>
    <cfRule type="expression" priority="281" aboveAverage="0" equalAverage="0" bottom="0" percent="0" rank="0" text="" dxfId="3">
      <formula>L52="N/A"</formula>
    </cfRule>
  </conditionalFormatting>
  <conditionalFormatting sqref="B53">
    <cfRule type="expression" priority="282" aboveAverage="0" equalAverage="0" bottom="0" percent="0" rank="0" text="" dxfId="1">
      <formula>AND(ISNUMBER(B53),B53&gt;PBI_G)</formula>
    </cfRule>
    <cfRule type="expression" priority="283" aboveAverage="0" equalAverage="0" bottom="0" percent="0" rank="0" text="" dxfId="2">
      <formula>AND(ISNUMBER(B53),B53&lt;=PBI_G,B53&gt;=PBI_R)</formula>
    </cfRule>
    <cfRule type="expression" priority="284" aboveAverage="0" equalAverage="0" bottom="0" percent="0" rank="0" text="" dxfId="0">
      <formula>AND(ISNUMBER(B53),B53&lt;PBI_R)</formula>
    </cfRule>
    <cfRule type="expression" priority="285" aboveAverage="0" equalAverage="0" bottom="0" percent="0" rank="0" text="" dxfId="3">
      <formula>B53="N/A"</formula>
    </cfRule>
  </conditionalFormatting>
  <conditionalFormatting sqref="D53">
    <cfRule type="expression" priority="286" aboveAverage="0" equalAverage="0" bottom="0" percent="0" rank="0" text="" dxfId="1">
      <formula>AND(ISNUMBER(D53),D53&gt;PBI_G)</formula>
    </cfRule>
    <cfRule type="expression" priority="287" aboveAverage="0" equalAverage="0" bottom="0" percent="0" rank="0" text="" dxfId="2">
      <formula>AND(ISNUMBER(D53),D53&lt;=PBI_G,D53&gt;=PBI_R)</formula>
    </cfRule>
    <cfRule type="expression" priority="288" aboveAverage="0" equalAverage="0" bottom="0" percent="0" rank="0" text="" dxfId="0">
      <formula>AND(ISNUMBER(D53),D53&lt;PBI_R)</formula>
    </cfRule>
    <cfRule type="expression" priority="289" aboveAverage="0" equalAverage="0" bottom="0" percent="0" rank="0" text="" dxfId="3">
      <formula>D53="N/A"</formula>
    </cfRule>
  </conditionalFormatting>
  <conditionalFormatting sqref="F53">
    <cfRule type="expression" priority="290" aboveAverage="0" equalAverage="0" bottom="0" percent="0" rank="0" text="" dxfId="1">
      <formula>AND(ISNUMBER(F53),F53&gt;PBI_G)</formula>
    </cfRule>
    <cfRule type="expression" priority="291" aboveAverage="0" equalAverage="0" bottom="0" percent="0" rank="0" text="" dxfId="2">
      <formula>AND(ISNUMBER(F53),F53&lt;=PBI_G,F53&gt;=PBI_R)</formula>
    </cfRule>
    <cfRule type="expression" priority="292" aboveAverage="0" equalAverage="0" bottom="0" percent="0" rank="0" text="" dxfId="0">
      <formula>AND(ISNUMBER(F53),F53&lt;PBI_R)</formula>
    </cfRule>
    <cfRule type="expression" priority="293" aboveAverage="0" equalAverage="0" bottom="0" percent="0" rank="0" text="" dxfId="3">
      <formula>F53="N/A"</formula>
    </cfRule>
  </conditionalFormatting>
  <conditionalFormatting sqref="H53">
    <cfRule type="expression" priority="294" aboveAverage="0" equalAverage="0" bottom="0" percent="0" rank="0" text="" dxfId="1">
      <formula>AND(ISNUMBER(H53),H53&gt;PBI_G)</formula>
    </cfRule>
    <cfRule type="expression" priority="295" aboveAverage="0" equalAverage="0" bottom="0" percent="0" rank="0" text="" dxfId="2">
      <formula>AND(ISNUMBER(H53),H53&lt;=PBI_G,H53&gt;=PBI_R)</formula>
    </cfRule>
    <cfRule type="expression" priority="296" aboveAverage="0" equalAverage="0" bottom="0" percent="0" rank="0" text="" dxfId="0">
      <formula>AND(ISNUMBER(H53),H53&lt;PBI_R)</formula>
    </cfRule>
    <cfRule type="expression" priority="297" aboveAverage="0" equalAverage="0" bottom="0" percent="0" rank="0" text="" dxfId="3">
      <formula>H53="N/A"</formula>
    </cfRule>
  </conditionalFormatting>
  <conditionalFormatting sqref="J53">
    <cfRule type="expression" priority="298" aboveAverage="0" equalAverage="0" bottom="0" percent="0" rank="0" text="" dxfId="1">
      <formula>AND(ISNUMBER(J53),J53&gt;PBI_G)</formula>
    </cfRule>
    <cfRule type="expression" priority="299" aboveAverage="0" equalAverage="0" bottom="0" percent="0" rank="0" text="" dxfId="2">
      <formula>AND(ISNUMBER(J53),J53&lt;=PBI_G,J53&gt;=PBI_R)</formula>
    </cfRule>
    <cfRule type="expression" priority="300" aboveAverage="0" equalAverage="0" bottom="0" percent="0" rank="0" text="" dxfId="0">
      <formula>AND(ISNUMBER(J53),J53&lt;PBI_R)</formula>
    </cfRule>
    <cfRule type="expression" priority="301" aboveAverage="0" equalAverage="0" bottom="0" percent="0" rank="0" text="" dxfId="3">
      <formula>J53="N/A"</formula>
    </cfRule>
  </conditionalFormatting>
  <conditionalFormatting sqref="L53">
    <cfRule type="expression" priority="302" aboveAverage="0" equalAverage="0" bottom="0" percent="0" rank="0" text="" dxfId="1">
      <formula>AND(ISNUMBER(L53),L53&gt;PBI_G)</formula>
    </cfRule>
    <cfRule type="expression" priority="303" aboveAverage="0" equalAverage="0" bottom="0" percent="0" rank="0" text="" dxfId="2">
      <formula>AND(ISNUMBER(L53),L53&lt;=PBI_G,L53&gt;=PBI_R)</formula>
    </cfRule>
    <cfRule type="expression" priority="304" aboveAverage="0" equalAverage="0" bottom="0" percent="0" rank="0" text="" dxfId="0">
      <formula>AND(ISNUMBER(L53),L53&lt;PBI_R)</formula>
    </cfRule>
    <cfRule type="expression" priority="305" aboveAverage="0" equalAverage="0" bottom="0" percent="0" rank="0" text="" dxfId="3">
      <formula>L53="N/A"</formula>
    </cfRule>
  </conditionalFormatting>
  <conditionalFormatting sqref="B54">
    <cfRule type="expression" priority="306" aboveAverage="0" equalAverage="0" bottom="0" percent="0" rank="0" text="" dxfId="1">
      <formula>AND(ISNUMBER(B54),B54&gt;PBI_G)</formula>
    </cfRule>
    <cfRule type="expression" priority="307" aboveAverage="0" equalAverage="0" bottom="0" percent="0" rank="0" text="" dxfId="2">
      <formula>AND(ISNUMBER(B54),B54&lt;=PBI_G,B54&gt;=PBI_R)</formula>
    </cfRule>
    <cfRule type="expression" priority="308" aboveAverage="0" equalAverage="0" bottom="0" percent="0" rank="0" text="" dxfId="0">
      <formula>AND(ISNUMBER(B54),B54&lt;PBI_R)</formula>
    </cfRule>
    <cfRule type="expression" priority="309" aboveAverage="0" equalAverage="0" bottom="0" percent="0" rank="0" text="" dxfId="3">
      <formula>B54="N/A"</formula>
    </cfRule>
  </conditionalFormatting>
  <conditionalFormatting sqref="D54">
    <cfRule type="expression" priority="310" aboveAverage="0" equalAverage="0" bottom="0" percent="0" rank="0" text="" dxfId="1">
      <formula>AND(ISNUMBER(D54),D54&gt;PBI_G)</formula>
    </cfRule>
    <cfRule type="expression" priority="311" aboveAverage="0" equalAverage="0" bottom="0" percent="0" rank="0" text="" dxfId="2">
      <formula>AND(ISNUMBER(D54),D54&lt;=PBI_G,D54&gt;=PBI_R)</formula>
    </cfRule>
    <cfRule type="expression" priority="312" aboveAverage="0" equalAverage="0" bottom="0" percent="0" rank="0" text="" dxfId="0">
      <formula>AND(ISNUMBER(D54),D54&lt;PBI_R)</formula>
    </cfRule>
    <cfRule type="expression" priority="313" aboveAverage="0" equalAverage="0" bottom="0" percent="0" rank="0" text="" dxfId="3">
      <formula>D54="N/A"</formula>
    </cfRule>
  </conditionalFormatting>
  <conditionalFormatting sqref="F54">
    <cfRule type="expression" priority="314" aboveAverage="0" equalAverage="0" bottom="0" percent="0" rank="0" text="" dxfId="1">
      <formula>AND(ISNUMBER(F54),F54&gt;PBI_G)</formula>
    </cfRule>
    <cfRule type="expression" priority="315" aboveAverage="0" equalAverage="0" bottom="0" percent="0" rank="0" text="" dxfId="2">
      <formula>AND(ISNUMBER(F54),F54&lt;=PBI_G,F54&gt;=PBI_R)</formula>
    </cfRule>
    <cfRule type="expression" priority="316" aboveAverage="0" equalAverage="0" bottom="0" percent="0" rank="0" text="" dxfId="0">
      <formula>AND(ISNUMBER(F54),F54&lt;PBI_R)</formula>
    </cfRule>
    <cfRule type="expression" priority="317" aboveAverage="0" equalAverage="0" bottom="0" percent="0" rank="0" text="" dxfId="3">
      <formula>F54="N/A"</formula>
    </cfRule>
  </conditionalFormatting>
  <conditionalFormatting sqref="H54">
    <cfRule type="expression" priority="318" aboveAverage="0" equalAverage="0" bottom="0" percent="0" rank="0" text="" dxfId="1">
      <formula>AND(ISNUMBER(H54),H54&gt;PBI_G)</formula>
    </cfRule>
    <cfRule type="expression" priority="319" aboveAverage="0" equalAverage="0" bottom="0" percent="0" rank="0" text="" dxfId="2">
      <formula>AND(ISNUMBER(H54),H54&lt;=PBI_G,H54&gt;=PBI_R)</formula>
    </cfRule>
    <cfRule type="expression" priority="320" aboveAverage="0" equalAverage="0" bottom="0" percent="0" rank="0" text="" dxfId="0">
      <formula>AND(ISNUMBER(H54),H54&lt;PBI_R)</formula>
    </cfRule>
    <cfRule type="expression" priority="321" aboveAverage="0" equalAverage="0" bottom="0" percent="0" rank="0" text="" dxfId="3">
      <formula>H54="N/A"</formula>
    </cfRule>
  </conditionalFormatting>
  <conditionalFormatting sqref="J54">
    <cfRule type="expression" priority="322" aboveAverage="0" equalAverage="0" bottom="0" percent="0" rank="0" text="" dxfId="1">
      <formula>AND(ISNUMBER(J54),J54&gt;PBI_G)</formula>
    </cfRule>
    <cfRule type="expression" priority="323" aboveAverage="0" equalAverage="0" bottom="0" percent="0" rank="0" text="" dxfId="2">
      <formula>AND(ISNUMBER(J54),J54&lt;=PBI_G,J54&gt;=PBI_R)</formula>
    </cfRule>
    <cfRule type="expression" priority="324" aboveAverage="0" equalAverage="0" bottom="0" percent="0" rank="0" text="" dxfId="0">
      <formula>AND(ISNUMBER(J54),J54&lt;PBI_R)</formula>
    </cfRule>
    <cfRule type="expression" priority="325" aboveAverage="0" equalAverage="0" bottom="0" percent="0" rank="0" text="" dxfId="3">
      <formula>J54="N/A"</formula>
    </cfRule>
  </conditionalFormatting>
  <conditionalFormatting sqref="L54">
    <cfRule type="expression" priority="326" aboveAverage="0" equalAverage="0" bottom="0" percent="0" rank="0" text="" dxfId="1">
      <formula>AND(ISNUMBER(L54),L54&gt;PBI_G)</formula>
    </cfRule>
    <cfRule type="expression" priority="327" aboveAverage="0" equalAverage="0" bottom="0" percent="0" rank="0" text="" dxfId="2">
      <formula>AND(ISNUMBER(L54),L54&lt;=PBI_G,L54&gt;=PBI_R)</formula>
    </cfRule>
    <cfRule type="expression" priority="328" aboveAverage="0" equalAverage="0" bottom="0" percent="0" rank="0" text="" dxfId="0">
      <formula>AND(ISNUMBER(L54),L54&lt;PBI_R)</formula>
    </cfRule>
    <cfRule type="expression" priority="329" aboveAverage="0" equalAverage="0" bottom="0" percent="0" rank="0" text="" dxfId="3">
      <formula>L54="N/A"</formula>
    </cfRule>
  </conditionalFormatting>
  <conditionalFormatting sqref="B55">
    <cfRule type="expression" priority="330" aboveAverage="0" equalAverage="0" bottom="0" percent="0" rank="0" text="" dxfId="1">
      <formula>AND(ISNUMBER(B55),B55&gt;PBI_G)</formula>
    </cfRule>
    <cfRule type="expression" priority="331" aboveAverage="0" equalAverage="0" bottom="0" percent="0" rank="0" text="" dxfId="2">
      <formula>AND(ISNUMBER(B55),B55&lt;=PBI_G,B55&gt;=PBI_R)</formula>
    </cfRule>
    <cfRule type="expression" priority="332" aboveAverage="0" equalAverage="0" bottom="0" percent="0" rank="0" text="" dxfId="0">
      <formula>AND(ISNUMBER(B55),B55&lt;PBI_R)</formula>
    </cfRule>
    <cfRule type="expression" priority="333" aboveAverage="0" equalAverage="0" bottom="0" percent="0" rank="0" text="" dxfId="3">
      <formula>B55="N/A"</formula>
    </cfRule>
  </conditionalFormatting>
  <conditionalFormatting sqref="D55">
    <cfRule type="expression" priority="334" aboveAverage="0" equalAverage="0" bottom="0" percent="0" rank="0" text="" dxfId="1">
      <formula>AND(ISNUMBER(D55),D55&gt;PBI_G)</formula>
    </cfRule>
    <cfRule type="expression" priority="335" aboveAverage="0" equalAverage="0" bottom="0" percent="0" rank="0" text="" dxfId="2">
      <formula>AND(ISNUMBER(D55),D55&lt;=PBI_G,D55&gt;=PBI_R)</formula>
    </cfRule>
    <cfRule type="expression" priority="336" aboveAverage="0" equalAverage="0" bottom="0" percent="0" rank="0" text="" dxfId="0">
      <formula>AND(ISNUMBER(D55),D55&lt;PBI_R)</formula>
    </cfRule>
    <cfRule type="expression" priority="337" aboveAverage="0" equalAverage="0" bottom="0" percent="0" rank="0" text="" dxfId="3">
      <formula>D55="N/A"</formula>
    </cfRule>
  </conditionalFormatting>
  <conditionalFormatting sqref="F55">
    <cfRule type="expression" priority="338" aboveAverage="0" equalAverage="0" bottom="0" percent="0" rank="0" text="" dxfId="1">
      <formula>AND(ISNUMBER(F55),F55&gt;PBI_G)</formula>
    </cfRule>
    <cfRule type="expression" priority="339" aboveAverage="0" equalAverage="0" bottom="0" percent="0" rank="0" text="" dxfId="2">
      <formula>AND(ISNUMBER(F55),F55&lt;=PBI_G,F55&gt;=PBI_R)</formula>
    </cfRule>
    <cfRule type="expression" priority="340" aboveAverage="0" equalAverage="0" bottom="0" percent="0" rank="0" text="" dxfId="0">
      <formula>AND(ISNUMBER(F55),F55&lt;PBI_R)</formula>
    </cfRule>
    <cfRule type="expression" priority="341" aboveAverage="0" equalAverage="0" bottom="0" percent="0" rank="0" text="" dxfId="3">
      <formula>F55="N/A"</formula>
    </cfRule>
  </conditionalFormatting>
  <conditionalFormatting sqref="H55">
    <cfRule type="expression" priority="342" aboveAverage="0" equalAverage="0" bottom="0" percent="0" rank="0" text="" dxfId="1">
      <formula>AND(ISNUMBER(H55),H55&gt;PBI_G)</formula>
    </cfRule>
    <cfRule type="expression" priority="343" aboveAverage="0" equalAverage="0" bottom="0" percent="0" rank="0" text="" dxfId="2">
      <formula>AND(ISNUMBER(H55),H55&lt;=PBI_G,H55&gt;=PBI_R)</formula>
    </cfRule>
    <cfRule type="expression" priority="344" aboveAverage="0" equalAverage="0" bottom="0" percent="0" rank="0" text="" dxfId="0">
      <formula>AND(ISNUMBER(H55),H55&lt;PBI_R)</formula>
    </cfRule>
    <cfRule type="expression" priority="345" aboveAverage="0" equalAverage="0" bottom="0" percent="0" rank="0" text="" dxfId="3">
      <formula>H55="N/A"</formula>
    </cfRule>
  </conditionalFormatting>
  <conditionalFormatting sqref="J55">
    <cfRule type="expression" priority="346" aboveAverage="0" equalAverage="0" bottom="0" percent="0" rank="0" text="" dxfId="1">
      <formula>AND(ISNUMBER(J55),J55&gt;PBI_G)</formula>
    </cfRule>
    <cfRule type="expression" priority="347" aboveAverage="0" equalAverage="0" bottom="0" percent="0" rank="0" text="" dxfId="2">
      <formula>AND(ISNUMBER(J55),J55&lt;=PBI_G,J55&gt;=PBI_R)</formula>
    </cfRule>
    <cfRule type="expression" priority="348" aboveAverage="0" equalAverage="0" bottom="0" percent="0" rank="0" text="" dxfId="0">
      <formula>AND(ISNUMBER(J55),J55&lt;PBI_R)</formula>
    </cfRule>
    <cfRule type="expression" priority="349" aboveAverage="0" equalAverage="0" bottom="0" percent="0" rank="0" text="" dxfId="3">
      <formula>J55="N/A"</formula>
    </cfRule>
  </conditionalFormatting>
  <conditionalFormatting sqref="L55">
    <cfRule type="expression" priority="350" aboveAverage="0" equalAverage="0" bottom="0" percent="0" rank="0" text="" dxfId="1">
      <formula>AND(ISNUMBER(L55),L55&gt;PBI_G)</formula>
    </cfRule>
    <cfRule type="expression" priority="351" aboveAverage="0" equalAverage="0" bottom="0" percent="0" rank="0" text="" dxfId="2">
      <formula>AND(ISNUMBER(L55),L55&lt;=PBI_G,L55&gt;=PBI_R)</formula>
    </cfRule>
    <cfRule type="expression" priority="352" aboveAverage="0" equalAverage="0" bottom="0" percent="0" rank="0" text="" dxfId="0">
      <formula>AND(ISNUMBER(L55),L55&lt;PBI_R)</formula>
    </cfRule>
    <cfRule type="expression" priority="353" aboveAverage="0" equalAverage="0" bottom="0" percent="0" rank="0" text="" dxfId="3">
      <formula>L55="N/A"</formula>
    </cfRule>
  </conditionalFormatting>
  <conditionalFormatting sqref="B56">
    <cfRule type="expression" priority="354" aboveAverage="0" equalAverage="0" bottom="0" percent="0" rank="0" text="" dxfId="1">
      <formula>AND(ISNUMBER(B56),B56&gt;PBI_G)</formula>
    </cfRule>
    <cfRule type="expression" priority="355" aboveAverage="0" equalAverage="0" bottom="0" percent="0" rank="0" text="" dxfId="2">
      <formula>AND(ISNUMBER(B56),B56&lt;=PBI_G,B56&gt;=PBI_R)</formula>
    </cfRule>
    <cfRule type="expression" priority="356" aboveAverage="0" equalAverage="0" bottom="0" percent="0" rank="0" text="" dxfId="0">
      <formula>AND(ISNUMBER(B56),B56&lt;PBI_R)</formula>
    </cfRule>
    <cfRule type="expression" priority="357" aboveAverage="0" equalAverage="0" bottom="0" percent="0" rank="0" text="" dxfId="3">
      <formula>B56="N/A"</formula>
    </cfRule>
  </conditionalFormatting>
  <conditionalFormatting sqref="D56">
    <cfRule type="expression" priority="358" aboveAverage="0" equalAverage="0" bottom="0" percent="0" rank="0" text="" dxfId="1">
      <formula>AND(ISNUMBER(D56),D56&gt;PBI_G)</formula>
    </cfRule>
    <cfRule type="expression" priority="359" aboveAverage="0" equalAverage="0" bottom="0" percent="0" rank="0" text="" dxfId="2">
      <formula>AND(ISNUMBER(D56),D56&lt;=PBI_G,D56&gt;=PBI_R)</formula>
    </cfRule>
    <cfRule type="expression" priority="360" aboveAverage="0" equalAverage="0" bottom="0" percent="0" rank="0" text="" dxfId="0">
      <formula>AND(ISNUMBER(D56),D56&lt;PBI_R)</formula>
    </cfRule>
    <cfRule type="expression" priority="361" aboveAverage="0" equalAverage="0" bottom="0" percent="0" rank="0" text="" dxfId="3">
      <formula>D56="N/A"</formula>
    </cfRule>
  </conditionalFormatting>
  <conditionalFormatting sqref="F56">
    <cfRule type="expression" priority="362" aboveAverage="0" equalAverage="0" bottom="0" percent="0" rank="0" text="" dxfId="1">
      <formula>AND(ISNUMBER(F56),F56&gt;PBI_G)</formula>
    </cfRule>
    <cfRule type="expression" priority="363" aboveAverage="0" equalAverage="0" bottom="0" percent="0" rank="0" text="" dxfId="2">
      <formula>AND(ISNUMBER(F56),F56&lt;=PBI_G,F56&gt;=PBI_R)</formula>
    </cfRule>
    <cfRule type="expression" priority="364" aboveAverage="0" equalAverage="0" bottom="0" percent="0" rank="0" text="" dxfId="0">
      <formula>AND(ISNUMBER(F56),F56&lt;PBI_R)</formula>
    </cfRule>
    <cfRule type="expression" priority="365" aboveAverage="0" equalAverage="0" bottom="0" percent="0" rank="0" text="" dxfId="3">
      <formula>F56="N/A"</formula>
    </cfRule>
  </conditionalFormatting>
  <conditionalFormatting sqref="H56">
    <cfRule type="expression" priority="366" aboveAverage="0" equalAverage="0" bottom="0" percent="0" rank="0" text="" dxfId="1">
      <formula>AND(ISNUMBER(H56),H56&gt;PBI_G)</formula>
    </cfRule>
    <cfRule type="expression" priority="367" aboveAverage="0" equalAverage="0" bottom="0" percent="0" rank="0" text="" dxfId="2">
      <formula>AND(ISNUMBER(H56),H56&lt;=PBI_G,H56&gt;=PBI_R)</formula>
    </cfRule>
    <cfRule type="expression" priority="368" aboveAverage="0" equalAverage="0" bottom="0" percent="0" rank="0" text="" dxfId="0">
      <formula>AND(ISNUMBER(H56),H56&lt;PBI_R)</formula>
    </cfRule>
    <cfRule type="expression" priority="369" aboveAverage="0" equalAverage="0" bottom="0" percent="0" rank="0" text="" dxfId="3">
      <formula>H56="N/A"</formula>
    </cfRule>
  </conditionalFormatting>
  <conditionalFormatting sqref="J56">
    <cfRule type="expression" priority="370" aboveAverage="0" equalAverage="0" bottom="0" percent="0" rank="0" text="" dxfId="1">
      <formula>AND(ISNUMBER(J56),J56&gt;PBI_G)</formula>
    </cfRule>
    <cfRule type="expression" priority="371" aboveAverage="0" equalAverage="0" bottom="0" percent="0" rank="0" text="" dxfId="2">
      <formula>AND(ISNUMBER(J56),J56&lt;=PBI_G,J56&gt;=PBI_R)</formula>
    </cfRule>
    <cfRule type="expression" priority="372" aboveAverage="0" equalAverage="0" bottom="0" percent="0" rank="0" text="" dxfId="0">
      <formula>AND(ISNUMBER(J56),J56&lt;PBI_R)</formula>
    </cfRule>
    <cfRule type="expression" priority="373" aboveAverage="0" equalAverage="0" bottom="0" percent="0" rank="0" text="" dxfId="3">
      <formula>J56="N/A"</formula>
    </cfRule>
  </conditionalFormatting>
  <conditionalFormatting sqref="L56">
    <cfRule type="expression" priority="374" aboveAverage="0" equalAverage="0" bottom="0" percent="0" rank="0" text="" dxfId="1">
      <formula>AND(ISNUMBER(L56),L56&gt;PBI_G)</formula>
    </cfRule>
    <cfRule type="expression" priority="375" aboveAverage="0" equalAverage="0" bottom="0" percent="0" rank="0" text="" dxfId="2">
      <formula>AND(ISNUMBER(L56),L56&lt;=PBI_G,L56&gt;=PBI_R)</formula>
    </cfRule>
    <cfRule type="expression" priority="376" aboveAverage="0" equalAverage="0" bottom="0" percent="0" rank="0" text="" dxfId="0">
      <formula>AND(ISNUMBER(L56),L56&lt;PBI_R)</formula>
    </cfRule>
    <cfRule type="expression" priority="377" aboveAverage="0" equalAverage="0" bottom="0" percent="0" rank="0" text="" dxfId="3">
      <formula>L56="N/A"</formula>
    </cfRule>
  </conditionalFormatting>
  <conditionalFormatting sqref="B57">
    <cfRule type="expression" priority="378" aboveAverage="0" equalAverage="0" bottom="0" percent="0" rank="0" text="" dxfId="1">
      <formula>AND(ISNUMBER(B57),B57&gt;PBI_G)</formula>
    </cfRule>
    <cfRule type="expression" priority="379" aboveAverage="0" equalAverage="0" bottom="0" percent="0" rank="0" text="" dxfId="2">
      <formula>AND(ISNUMBER(B57),B57&lt;=PBI_G,B57&gt;=PBI_R)</formula>
    </cfRule>
    <cfRule type="expression" priority="380" aboveAverage="0" equalAverage="0" bottom="0" percent="0" rank="0" text="" dxfId="0">
      <formula>AND(ISNUMBER(B57),B57&lt;PBI_R)</formula>
    </cfRule>
    <cfRule type="expression" priority="381" aboveAverage="0" equalAverage="0" bottom="0" percent="0" rank="0" text="" dxfId="3">
      <formula>B57="N/A"</formula>
    </cfRule>
  </conditionalFormatting>
  <conditionalFormatting sqref="D57">
    <cfRule type="expression" priority="382" aboveAverage="0" equalAverage="0" bottom="0" percent="0" rank="0" text="" dxfId="1">
      <formula>AND(ISNUMBER(D57),D57&gt;PBI_G)</formula>
    </cfRule>
    <cfRule type="expression" priority="383" aboveAverage="0" equalAverage="0" bottom="0" percent="0" rank="0" text="" dxfId="2">
      <formula>AND(ISNUMBER(D57),D57&lt;=PBI_G,D57&gt;=PBI_R)</formula>
    </cfRule>
    <cfRule type="expression" priority="384" aboveAverage="0" equalAverage="0" bottom="0" percent="0" rank="0" text="" dxfId="0">
      <formula>AND(ISNUMBER(D57),D57&lt;PBI_R)</formula>
    </cfRule>
    <cfRule type="expression" priority="385" aboveAverage="0" equalAverage="0" bottom="0" percent="0" rank="0" text="" dxfId="3">
      <formula>D57="N/A"</formula>
    </cfRule>
  </conditionalFormatting>
  <conditionalFormatting sqref="F57">
    <cfRule type="expression" priority="386" aboveAverage="0" equalAverage="0" bottom="0" percent="0" rank="0" text="" dxfId="1">
      <formula>AND(ISNUMBER(F57),F57&gt;PBI_G)</formula>
    </cfRule>
    <cfRule type="expression" priority="387" aboveAverage="0" equalAverage="0" bottom="0" percent="0" rank="0" text="" dxfId="2">
      <formula>AND(ISNUMBER(F57),F57&lt;=PBI_G,F57&gt;=PBI_R)</formula>
    </cfRule>
    <cfRule type="expression" priority="388" aboveAverage="0" equalAverage="0" bottom="0" percent="0" rank="0" text="" dxfId="0">
      <formula>AND(ISNUMBER(F57),F57&lt;PBI_R)</formula>
    </cfRule>
    <cfRule type="expression" priority="389" aboveAverage="0" equalAverage="0" bottom="0" percent="0" rank="0" text="" dxfId="3">
      <formula>F57="N/A"</formula>
    </cfRule>
  </conditionalFormatting>
  <conditionalFormatting sqref="H57">
    <cfRule type="expression" priority="390" aboveAverage="0" equalAverage="0" bottom="0" percent="0" rank="0" text="" dxfId="1">
      <formula>AND(ISNUMBER(H57),H57&gt;PBI_G)</formula>
    </cfRule>
    <cfRule type="expression" priority="391" aboveAverage="0" equalAverage="0" bottom="0" percent="0" rank="0" text="" dxfId="2">
      <formula>AND(ISNUMBER(H57),H57&lt;=PBI_G,H57&gt;=PBI_R)</formula>
    </cfRule>
    <cfRule type="expression" priority="392" aboveAverage="0" equalAverage="0" bottom="0" percent="0" rank="0" text="" dxfId="0">
      <formula>AND(ISNUMBER(H57),H57&lt;PBI_R)</formula>
    </cfRule>
    <cfRule type="expression" priority="393" aboveAverage="0" equalAverage="0" bottom="0" percent="0" rank="0" text="" dxfId="3">
      <formula>H57="N/A"</formula>
    </cfRule>
  </conditionalFormatting>
  <conditionalFormatting sqref="J57">
    <cfRule type="expression" priority="394" aboveAverage="0" equalAverage="0" bottom="0" percent="0" rank="0" text="" dxfId="1">
      <formula>AND(ISNUMBER(J57),J57&gt;PBI_G)</formula>
    </cfRule>
    <cfRule type="expression" priority="395" aboveAverage="0" equalAverage="0" bottom="0" percent="0" rank="0" text="" dxfId="2">
      <formula>AND(ISNUMBER(J57),J57&lt;=PBI_G,J57&gt;=PBI_R)</formula>
    </cfRule>
    <cfRule type="expression" priority="396" aboveAverage="0" equalAverage="0" bottom="0" percent="0" rank="0" text="" dxfId="0">
      <formula>AND(ISNUMBER(J57),J57&lt;PBI_R)</formula>
    </cfRule>
    <cfRule type="expression" priority="397" aboveAverage="0" equalAverage="0" bottom="0" percent="0" rank="0" text="" dxfId="3">
      <formula>J57="N/A"</formula>
    </cfRule>
  </conditionalFormatting>
  <conditionalFormatting sqref="L57">
    <cfRule type="expression" priority="398" aboveAverage="0" equalAverage="0" bottom="0" percent="0" rank="0" text="" dxfId="1">
      <formula>AND(ISNUMBER(L57),L57&gt;PBI_G)</formula>
    </cfRule>
    <cfRule type="expression" priority="399" aboveAverage="0" equalAverage="0" bottom="0" percent="0" rank="0" text="" dxfId="2">
      <formula>AND(ISNUMBER(L57),L57&lt;=PBI_G,L57&gt;=PBI_R)</formula>
    </cfRule>
    <cfRule type="expression" priority="400" aboveAverage="0" equalAverage="0" bottom="0" percent="0" rank="0" text="" dxfId="0">
      <formula>AND(ISNUMBER(L57),L57&lt;PBI_R)</formula>
    </cfRule>
    <cfRule type="expression" priority="401" aboveAverage="0" equalAverage="0" bottom="0" percent="0" rank="0" text="" dxfId="3">
      <formula>L57="N/A"</formula>
    </cfRule>
  </conditionalFormatting>
  <conditionalFormatting sqref="B60">
    <cfRule type="expression" priority="402" aboveAverage="0" equalAverage="0" bottom="0" percent="0" rank="0" text="" dxfId="1">
      <formula>AND(ISNUMBER(B60),B60&lt;=NCR_G)</formula>
    </cfRule>
    <cfRule type="expression" priority="403" aboveAverage="0" equalAverage="0" bottom="0" percent="0" rank="0" text="" dxfId="2">
      <formula>AND(ISNUMBER(B60),B60&gt;NCR_G,B60&lt;NCR_R)</formula>
    </cfRule>
    <cfRule type="expression" priority="404" aboveAverage="0" equalAverage="0" bottom="0" percent="0" rank="0" text="" dxfId="0">
      <formula>AND(ISNUMBER(B60),B60&gt;=NCR_R)</formula>
    </cfRule>
    <cfRule type="expression" priority="405" aboveAverage="0" equalAverage="0" bottom="0" percent="0" rank="0" text="" dxfId="3">
      <formula>B60="N/A"</formula>
    </cfRule>
  </conditionalFormatting>
  <conditionalFormatting sqref="D60">
    <cfRule type="expression" priority="406" aboveAverage="0" equalAverage="0" bottom="0" percent="0" rank="0" text="" dxfId="1">
      <formula>AND(ISNUMBER(D60),D60&gt;EQ_G)</formula>
    </cfRule>
    <cfRule type="expression" priority="407" aboveAverage="0" equalAverage="0" bottom="0" percent="0" rank="0" text="" dxfId="2">
      <formula>AND(ISNUMBER(D60),D60&lt;=EQ_G,D60&gt;=EQ_R)</formula>
    </cfRule>
    <cfRule type="expression" priority="408" aboveAverage="0" equalAverage="0" bottom="0" percent="0" rank="0" text="" dxfId="0">
      <formula>AND(ISNUMBER(D60),D60&lt;EQ_R)</formula>
    </cfRule>
    <cfRule type="expression" priority="409" aboveAverage="0" equalAverage="0" bottom="0" percent="0" rank="0" text="" dxfId="3">
      <formula>D60="N/A"</formula>
    </cfRule>
  </conditionalFormatting>
  <conditionalFormatting sqref="F60">
    <cfRule type="expression" priority="410" aboveAverage="0" equalAverage="0" bottom="0" percent="0" rank="0" text="" dxfId="1">
      <formula>AND(ISNUMBER(F60),F60&gt;INSP_G)</formula>
    </cfRule>
    <cfRule type="expression" priority="411" aboveAverage="0" equalAverage="0" bottom="0" percent="0" rank="0" text="" dxfId="2">
      <formula>AND(ISNUMBER(F60),F60&lt;=INSP_G,F60&gt;=INSP_R)</formula>
    </cfRule>
    <cfRule type="expression" priority="412" aboveAverage="0" equalAverage="0" bottom="0" percent="0" rank="0" text="" dxfId="0">
      <formula>AND(ISNUMBER(F60),F60&lt;INSP_R)</formula>
    </cfRule>
    <cfRule type="expression" priority="413" aboveAverage="0" equalAverage="0" bottom="0" percent="0" rank="0" text="" dxfId="3">
      <formula>F60="N/A"</formula>
    </cfRule>
  </conditionalFormatting>
  <conditionalFormatting sqref="H60">
    <cfRule type="expression" priority="414" aboveAverage="0" equalAverage="0" bottom="0" percent="0" rank="0" text="" dxfId="1">
      <formula>AND(ISNUMBER(H60),H60&gt;LTR_G)</formula>
    </cfRule>
    <cfRule type="expression" priority="415" aboveAverage="0" equalAverage="0" bottom="0" percent="0" rank="0" text="" dxfId="2">
      <formula>AND(ISNUMBER(H60),H60&lt;=LTR_G,H60&gt;=LTR_R)</formula>
    </cfRule>
    <cfRule type="expression" priority="416" aboveAverage="0" equalAverage="0" bottom="0" percent="0" rank="0" text="" dxfId="0">
      <formula>AND(ISNUMBER(H60),H60&lt;LTR_R)</formula>
    </cfRule>
    <cfRule type="expression" priority="417" aboveAverage="0" equalAverage="0" bottom="0" percent="0" rank="0" text="" dxfId="3">
      <formula>H60="N/A"</formula>
    </cfRule>
  </conditionalFormatting>
  <conditionalFormatting sqref="B61">
    <cfRule type="expression" priority="418" aboveAverage="0" equalAverage="0" bottom="0" percent="0" rank="0" text="" dxfId="1">
      <formula>AND(ISNUMBER(B61),B61&lt;=NCR_G)</formula>
    </cfRule>
    <cfRule type="expression" priority="419" aboveAverage="0" equalAverage="0" bottom="0" percent="0" rank="0" text="" dxfId="2">
      <formula>AND(ISNUMBER(B61),B61&gt;NCR_G,B61&lt;NCR_R)</formula>
    </cfRule>
    <cfRule type="expression" priority="420" aboveAverage="0" equalAverage="0" bottom="0" percent="0" rank="0" text="" dxfId="0">
      <formula>AND(ISNUMBER(B61),B61&gt;=NCR_R)</formula>
    </cfRule>
    <cfRule type="expression" priority="421" aboveAverage="0" equalAverage="0" bottom="0" percent="0" rank="0" text="" dxfId="3">
      <formula>B61="N/A"</formula>
    </cfRule>
  </conditionalFormatting>
  <conditionalFormatting sqref="D61">
    <cfRule type="expression" priority="422" aboveAverage="0" equalAverage="0" bottom="0" percent="0" rank="0" text="" dxfId="1">
      <formula>AND(ISNUMBER(D61),D61&gt;EQ_G)</formula>
    </cfRule>
    <cfRule type="expression" priority="423" aboveAverage="0" equalAverage="0" bottom="0" percent="0" rank="0" text="" dxfId="2">
      <formula>AND(ISNUMBER(D61),D61&lt;=EQ_G,D61&gt;=EQ_R)</formula>
    </cfRule>
    <cfRule type="expression" priority="424" aboveAverage="0" equalAverage="0" bottom="0" percent="0" rank="0" text="" dxfId="0">
      <formula>AND(ISNUMBER(D61),D61&lt;EQ_R)</formula>
    </cfRule>
    <cfRule type="expression" priority="425" aboveAverage="0" equalAverage="0" bottom="0" percent="0" rank="0" text="" dxfId="3">
      <formula>D61="N/A"</formula>
    </cfRule>
  </conditionalFormatting>
  <conditionalFormatting sqref="F61">
    <cfRule type="expression" priority="426" aboveAverage="0" equalAverage="0" bottom="0" percent="0" rank="0" text="" dxfId="1">
      <formula>AND(ISNUMBER(F61),F61&gt;INSP_G)</formula>
    </cfRule>
    <cfRule type="expression" priority="427" aboveAverage="0" equalAverage="0" bottom="0" percent="0" rank="0" text="" dxfId="2">
      <formula>AND(ISNUMBER(F61),F61&lt;=INSP_G,F61&gt;=INSP_R)</formula>
    </cfRule>
    <cfRule type="expression" priority="428" aboveAverage="0" equalAverage="0" bottom="0" percent="0" rank="0" text="" dxfId="0">
      <formula>AND(ISNUMBER(F61),F61&lt;INSP_R)</formula>
    </cfRule>
    <cfRule type="expression" priority="429" aboveAverage="0" equalAverage="0" bottom="0" percent="0" rank="0" text="" dxfId="3">
      <formula>F61="N/A"</formula>
    </cfRule>
  </conditionalFormatting>
  <conditionalFormatting sqref="H61">
    <cfRule type="expression" priority="430" aboveAverage="0" equalAverage="0" bottom="0" percent="0" rank="0" text="" dxfId="1">
      <formula>AND(ISNUMBER(H61),H61&gt;LTR_G)</formula>
    </cfRule>
    <cfRule type="expression" priority="431" aboveAverage="0" equalAverage="0" bottom="0" percent="0" rank="0" text="" dxfId="2">
      <formula>AND(ISNUMBER(H61),H61&lt;=LTR_G,H61&gt;=LTR_R)</formula>
    </cfRule>
    <cfRule type="expression" priority="432" aboveAverage="0" equalAverage="0" bottom="0" percent="0" rank="0" text="" dxfId="0">
      <formula>AND(ISNUMBER(H61),H61&lt;LTR_R)</formula>
    </cfRule>
    <cfRule type="expression" priority="433" aboveAverage="0" equalAverage="0" bottom="0" percent="0" rank="0" text="" dxfId="3">
      <formula>H61="N/A"</formula>
    </cfRule>
  </conditionalFormatting>
  <conditionalFormatting sqref="B62">
    <cfRule type="expression" priority="434" aboveAverage="0" equalAverage="0" bottom="0" percent="0" rank="0" text="" dxfId="1">
      <formula>AND(ISNUMBER(B62),B62&lt;=NCR_G)</formula>
    </cfRule>
    <cfRule type="expression" priority="435" aboveAverage="0" equalAverage="0" bottom="0" percent="0" rank="0" text="" dxfId="2">
      <formula>AND(ISNUMBER(B62),B62&gt;NCR_G,B62&lt;NCR_R)</formula>
    </cfRule>
    <cfRule type="expression" priority="436" aboveAverage="0" equalAverage="0" bottom="0" percent="0" rank="0" text="" dxfId="0">
      <formula>AND(ISNUMBER(B62),B62&gt;=NCR_R)</formula>
    </cfRule>
    <cfRule type="expression" priority="437" aboveAverage="0" equalAverage="0" bottom="0" percent="0" rank="0" text="" dxfId="3">
      <formula>B62="N/A"</formula>
    </cfRule>
  </conditionalFormatting>
  <conditionalFormatting sqref="D62">
    <cfRule type="expression" priority="438" aboveAverage="0" equalAverage="0" bottom="0" percent="0" rank="0" text="" dxfId="1">
      <formula>AND(ISNUMBER(D62),D62&gt;EQ_G)</formula>
    </cfRule>
    <cfRule type="expression" priority="439" aboveAverage="0" equalAverage="0" bottom="0" percent="0" rank="0" text="" dxfId="2">
      <formula>AND(ISNUMBER(D62),D62&lt;=EQ_G,D62&gt;=EQ_R)</formula>
    </cfRule>
    <cfRule type="expression" priority="440" aboveAverage="0" equalAverage="0" bottom="0" percent="0" rank="0" text="" dxfId="0">
      <formula>AND(ISNUMBER(D62),D62&lt;EQ_R)</formula>
    </cfRule>
    <cfRule type="expression" priority="441" aboveAverage="0" equalAverage="0" bottom="0" percent="0" rank="0" text="" dxfId="3">
      <formula>D62="N/A"</formula>
    </cfRule>
  </conditionalFormatting>
  <conditionalFormatting sqref="F62">
    <cfRule type="expression" priority="442" aboveAverage="0" equalAverage="0" bottom="0" percent="0" rank="0" text="" dxfId="1">
      <formula>AND(ISNUMBER(F62),F62&gt;INSP_G)</formula>
    </cfRule>
    <cfRule type="expression" priority="443" aboveAverage="0" equalAverage="0" bottom="0" percent="0" rank="0" text="" dxfId="2">
      <formula>AND(ISNUMBER(F62),F62&lt;=INSP_G,F62&gt;=INSP_R)</formula>
    </cfRule>
    <cfRule type="expression" priority="444" aboveAverage="0" equalAverage="0" bottom="0" percent="0" rank="0" text="" dxfId="0">
      <formula>AND(ISNUMBER(F62),F62&lt;INSP_R)</formula>
    </cfRule>
    <cfRule type="expression" priority="445" aboveAverage="0" equalAverage="0" bottom="0" percent="0" rank="0" text="" dxfId="3">
      <formula>F62="N/A"</formula>
    </cfRule>
  </conditionalFormatting>
  <conditionalFormatting sqref="H62">
    <cfRule type="expression" priority="446" aboveAverage="0" equalAverage="0" bottom="0" percent="0" rank="0" text="" dxfId="1">
      <formula>AND(ISNUMBER(H62),H62&gt;LTR_G)</formula>
    </cfRule>
    <cfRule type="expression" priority="447" aboveAverage="0" equalAverage="0" bottom="0" percent="0" rank="0" text="" dxfId="2">
      <formula>AND(ISNUMBER(H62),H62&lt;=LTR_G,H62&gt;=LTR_R)</formula>
    </cfRule>
    <cfRule type="expression" priority="448" aboveAverage="0" equalAverage="0" bottom="0" percent="0" rank="0" text="" dxfId="0">
      <formula>AND(ISNUMBER(H62),H62&lt;LTR_R)</formula>
    </cfRule>
    <cfRule type="expression" priority="449" aboveAverage="0" equalAverage="0" bottom="0" percent="0" rank="0" text="" dxfId="3">
      <formula>H62="N/A"</formula>
    </cfRule>
  </conditionalFormatting>
  <conditionalFormatting sqref="B63">
    <cfRule type="expression" priority="450" aboveAverage="0" equalAverage="0" bottom="0" percent="0" rank="0" text="" dxfId="1">
      <formula>AND(ISNUMBER(B63),B63&lt;=NCR_G)</formula>
    </cfRule>
    <cfRule type="expression" priority="451" aboveAverage="0" equalAverage="0" bottom="0" percent="0" rank="0" text="" dxfId="2">
      <formula>AND(ISNUMBER(B63),B63&gt;NCR_G,B63&lt;NCR_R)</formula>
    </cfRule>
    <cfRule type="expression" priority="452" aboveAverage="0" equalAverage="0" bottom="0" percent="0" rank="0" text="" dxfId="0">
      <formula>AND(ISNUMBER(B63),B63&gt;=NCR_R)</formula>
    </cfRule>
    <cfRule type="expression" priority="453" aboveAverage="0" equalAverage="0" bottom="0" percent="0" rank="0" text="" dxfId="3">
      <formula>B63="N/A"</formula>
    </cfRule>
  </conditionalFormatting>
  <conditionalFormatting sqref="D63">
    <cfRule type="expression" priority="454" aboveAverage="0" equalAverage="0" bottom="0" percent="0" rank="0" text="" dxfId="1">
      <formula>AND(ISNUMBER(D63),D63&gt;EQ_G)</formula>
    </cfRule>
    <cfRule type="expression" priority="455" aboveAverage="0" equalAverage="0" bottom="0" percent="0" rank="0" text="" dxfId="2">
      <formula>AND(ISNUMBER(D63),D63&lt;=EQ_G,D63&gt;=EQ_R)</formula>
    </cfRule>
    <cfRule type="expression" priority="456" aboveAverage="0" equalAverage="0" bottom="0" percent="0" rank="0" text="" dxfId="0">
      <formula>AND(ISNUMBER(D63),D63&lt;EQ_R)</formula>
    </cfRule>
    <cfRule type="expression" priority="457" aboveAverage="0" equalAverage="0" bottom="0" percent="0" rank="0" text="" dxfId="3">
      <formula>D63="N/A"</formula>
    </cfRule>
  </conditionalFormatting>
  <conditionalFormatting sqref="F63">
    <cfRule type="expression" priority="458" aboveAverage="0" equalAverage="0" bottom="0" percent="0" rank="0" text="" dxfId="1">
      <formula>AND(ISNUMBER(F63),F63&gt;INSP_G)</formula>
    </cfRule>
    <cfRule type="expression" priority="459" aboveAverage="0" equalAverage="0" bottom="0" percent="0" rank="0" text="" dxfId="2">
      <formula>AND(ISNUMBER(F63),F63&lt;=INSP_G,F63&gt;=INSP_R)</formula>
    </cfRule>
    <cfRule type="expression" priority="460" aboveAverage="0" equalAverage="0" bottom="0" percent="0" rank="0" text="" dxfId="0">
      <formula>AND(ISNUMBER(F63),F63&lt;INSP_R)</formula>
    </cfRule>
    <cfRule type="expression" priority="461" aboveAverage="0" equalAverage="0" bottom="0" percent="0" rank="0" text="" dxfId="3">
      <formula>F63="N/A"</formula>
    </cfRule>
  </conditionalFormatting>
  <conditionalFormatting sqref="H63">
    <cfRule type="expression" priority="462" aboveAverage="0" equalAverage="0" bottom="0" percent="0" rank="0" text="" dxfId="1">
      <formula>AND(ISNUMBER(H63),H63&gt;LTR_G)</formula>
    </cfRule>
    <cfRule type="expression" priority="463" aboveAverage="0" equalAverage="0" bottom="0" percent="0" rank="0" text="" dxfId="2">
      <formula>AND(ISNUMBER(H63),H63&lt;=LTR_G,H63&gt;=LTR_R)</formula>
    </cfRule>
    <cfRule type="expression" priority="464" aboveAverage="0" equalAverage="0" bottom="0" percent="0" rank="0" text="" dxfId="0">
      <formula>AND(ISNUMBER(H63),H63&lt;LTR_R)</formula>
    </cfRule>
    <cfRule type="expression" priority="465" aboveAverage="0" equalAverage="0" bottom="0" percent="0" rank="0" text="" dxfId="3">
      <formula>H63="N/A"</formula>
    </cfRule>
  </conditionalFormatting>
  <conditionalFormatting sqref="B64">
    <cfRule type="expression" priority="466" aboveAverage="0" equalAverage="0" bottom="0" percent="0" rank="0" text="" dxfId="1">
      <formula>AND(ISNUMBER(B64),B64&lt;=NCR_G)</formula>
    </cfRule>
    <cfRule type="expression" priority="467" aboveAverage="0" equalAverage="0" bottom="0" percent="0" rank="0" text="" dxfId="2">
      <formula>AND(ISNUMBER(B64),B64&gt;NCR_G,B64&lt;NCR_R)</formula>
    </cfRule>
    <cfRule type="expression" priority="468" aboveAverage="0" equalAverage="0" bottom="0" percent="0" rank="0" text="" dxfId="0">
      <formula>AND(ISNUMBER(B64),B64&gt;=NCR_R)</formula>
    </cfRule>
    <cfRule type="expression" priority="469" aboveAverage="0" equalAverage="0" bottom="0" percent="0" rank="0" text="" dxfId="3">
      <formula>B64="N/A"</formula>
    </cfRule>
  </conditionalFormatting>
  <conditionalFormatting sqref="D64">
    <cfRule type="expression" priority="470" aboveAverage="0" equalAverage="0" bottom="0" percent="0" rank="0" text="" dxfId="1">
      <formula>AND(ISNUMBER(D64),D64&gt;EQ_G)</formula>
    </cfRule>
    <cfRule type="expression" priority="471" aboveAverage="0" equalAverage="0" bottom="0" percent="0" rank="0" text="" dxfId="2">
      <formula>AND(ISNUMBER(D64),D64&lt;=EQ_G,D64&gt;=EQ_R)</formula>
    </cfRule>
    <cfRule type="expression" priority="472" aboveAverage="0" equalAverage="0" bottom="0" percent="0" rank="0" text="" dxfId="0">
      <formula>AND(ISNUMBER(D64),D64&lt;EQ_R)</formula>
    </cfRule>
    <cfRule type="expression" priority="473" aboveAverage="0" equalAverage="0" bottom="0" percent="0" rank="0" text="" dxfId="3">
      <formula>D64="N/A"</formula>
    </cfRule>
  </conditionalFormatting>
  <conditionalFormatting sqref="F64">
    <cfRule type="expression" priority="474" aboveAverage="0" equalAverage="0" bottom="0" percent="0" rank="0" text="" dxfId="1">
      <formula>AND(ISNUMBER(F64),F64&gt;INSP_G)</formula>
    </cfRule>
    <cfRule type="expression" priority="475" aboveAverage="0" equalAverage="0" bottom="0" percent="0" rank="0" text="" dxfId="2">
      <formula>AND(ISNUMBER(F64),F64&lt;=INSP_G,F64&gt;=INSP_R)</formula>
    </cfRule>
    <cfRule type="expression" priority="476" aboveAverage="0" equalAverage="0" bottom="0" percent="0" rank="0" text="" dxfId="0">
      <formula>AND(ISNUMBER(F64),F64&lt;INSP_R)</formula>
    </cfRule>
    <cfRule type="expression" priority="477" aboveAverage="0" equalAverage="0" bottom="0" percent="0" rank="0" text="" dxfId="3">
      <formula>F64="N/A"</formula>
    </cfRule>
  </conditionalFormatting>
  <conditionalFormatting sqref="H64">
    <cfRule type="expression" priority="478" aboveAverage="0" equalAverage="0" bottom="0" percent="0" rank="0" text="" dxfId="1">
      <formula>AND(ISNUMBER(H64),H64&gt;LTR_G)</formula>
    </cfRule>
    <cfRule type="expression" priority="479" aboveAverage="0" equalAverage="0" bottom="0" percent="0" rank="0" text="" dxfId="2">
      <formula>AND(ISNUMBER(H64),H64&lt;=LTR_G,H64&gt;=LTR_R)</formula>
    </cfRule>
    <cfRule type="expression" priority="480" aboveAverage="0" equalAverage="0" bottom="0" percent="0" rank="0" text="" dxfId="0">
      <formula>AND(ISNUMBER(H64),H64&lt;LTR_R)</formula>
    </cfRule>
    <cfRule type="expression" priority="481" aboveAverage="0" equalAverage="0" bottom="0" percent="0" rank="0" text="" dxfId="3">
      <formula>H64="N/A"</formula>
    </cfRule>
  </conditionalFormatting>
  <conditionalFormatting sqref="B65">
    <cfRule type="expression" priority="482" aboveAverage="0" equalAverage="0" bottom="0" percent="0" rank="0" text="" dxfId="1">
      <formula>AND(ISNUMBER(B65),B65&lt;=NCR_G)</formula>
    </cfRule>
    <cfRule type="expression" priority="483" aboveAverage="0" equalAverage="0" bottom="0" percent="0" rank="0" text="" dxfId="2">
      <formula>AND(ISNUMBER(B65),B65&gt;NCR_G,B65&lt;NCR_R)</formula>
    </cfRule>
    <cfRule type="expression" priority="484" aboveAverage="0" equalAverage="0" bottom="0" percent="0" rank="0" text="" dxfId="0">
      <formula>AND(ISNUMBER(B65),B65&gt;=NCR_R)</formula>
    </cfRule>
    <cfRule type="expression" priority="485" aboveAverage="0" equalAverage="0" bottom="0" percent="0" rank="0" text="" dxfId="3">
      <formula>B65="N/A"</formula>
    </cfRule>
  </conditionalFormatting>
  <conditionalFormatting sqref="D65">
    <cfRule type="expression" priority="486" aboveAverage="0" equalAverage="0" bottom="0" percent="0" rank="0" text="" dxfId="1">
      <formula>AND(ISNUMBER(D65),D65&gt;EQ_G)</formula>
    </cfRule>
    <cfRule type="expression" priority="487" aboveAverage="0" equalAverage="0" bottom="0" percent="0" rank="0" text="" dxfId="2">
      <formula>AND(ISNUMBER(D65),D65&lt;=EQ_G,D65&gt;=EQ_R)</formula>
    </cfRule>
    <cfRule type="expression" priority="488" aboveAverage="0" equalAverage="0" bottom="0" percent="0" rank="0" text="" dxfId="0">
      <formula>AND(ISNUMBER(D65),D65&lt;EQ_R)</formula>
    </cfRule>
    <cfRule type="expression" priority="489" aboveAverage="0" equalAverage="0" bottom="0" percent="0" rank="0" text="" dxfId="3">
      <formula>D65="N/A"</formula>
    </cfRule>
  </conditionalFormatting>
  <conditionalFormatting sqref="F65">
    <cfRule type="expression" priority="490" aboveAverage="0" equalAverage="0" bottom="0" percent="0" rank="0" text="" dxfId="1">
      <formula>AND(ISNUMBER(F65),F65&gt;INSP_G)</formula>
    </cfRule>
    <cfRule type="expression" priority="491" aboveAverage="0" equalAverage="0" bottom="0" percent="0" rank="0" text="" dxfId="2">
      <formula>AND(ISNUMBER(F65),F65&lt;=INSP_G,F65&gt;=INSP_R)</formula>
    </cfRule>
    <cfRule type="expression" priority="492" aboveAverage="0" equalAverage="0" bottom="0" percent="0" rank="0" text="" dxfId="0">
      <formula>AND(ISNUMBER(F65),F65&lt;INSP_R)</formula>
    </cfRule>
    <cfRule type="expression" priority="493" aboveAverage="0" equalAverage="0" bottom="0" percent="0" rank="0" text="" dxfId="3">
      <formula>F65="N/A"</formula>
    </cfRule>
  </conditionalFormatting>
  <conditionalFormatting sqref="H65">
    <cfRule type="expression" priority="494" aboveAverage="0" equalAverage="0" bottom="0" percent="0" rank="0" text="" dxfId="1">
      <formula>AND(ISNUMBER(H65),H65&gt;LTR_G)</formula>
    </cfRule>
    <cfRule type="expression" priority="495" aboveAverage="0" equalAverage="0" bottom="0" percent="0" rank="0" text="" dxfId="2">
      <formula>AND(ISNUMBER(H65),H65&lt;=LTR_G,H65&gt;=LTR_R)</formula>
    </cfRule>
    <cfRule type="expression" priority="496" aboveAverage="0" equalAverage="0" bottom="0" percent="0" rank="0" text="" dxfId="0">
      <formula>AND(ISNUMBER(H65),H65&lt;LTR_R)</formula>
    </cfRule>
    <cfRule type="expression" priority="497" aboveAverage="0" equalAverage="0" bottom="0" percent="0" rank="0" text="" dxfId="3">
      <formula>H65="N/A"</formula>
    </cfRule>
  </conditionalFormatting>
  <conditionalFormatting sqref="B66">
    <cfRule type="expression" priority="498" aboveAverage="0" equalAverage="0" bottom="0" percent="0" rank="0" text="" dxfId="1">
      <formula>AND(ISNUMBER(B66),B66&lt;=NCR_G)</formula>
    </cfRule>
    <cfRule type="expression" priority="499" aboveAverage="0" equalAverage="0" bottom="0" percent="0" rank="0" text="" dxfId="2">
      <formula>AND(ISNUMBER(B66),B66&gt;NCR_G,B66&lt;NCR_R)</formula>
    </cfRule>
    <cfRule type="expression" priority="500" aboveAverage="0" equalAverage="0" bottom="0" percent="0" rank="0" text="" dxfId="0">
      <formula>AND(ISNUMBER(B66),B66&gt;=NCR_R)</formula>
    </cfRule>
    <cfRule type="expression" priority="501" aboveAverage="0" equalAverage="0" bottom="0" percent="0" rank="0" text="" dxfId="3">
      <formula>B66="N/A"</formula>
    </cfRule>
  </conditionalFormatting>
  <conditionalFormatting sqref="D66">
    <cfRule type="expression" priority="502" aboveAverage="0" equalAverage="0" bottom="0" percent="0" rank="0" text="" dxfId="1">
      <formula>AND(ISNUMBER(D66),D66&gt;EQ_G)</formula>
    </cfRule>
    <cfRule type="expression" priority="503" aboveAverage="0" equalAverage="0" bottom="0" percent="0" rank="0" text="" dxfId="2">
      <formula>AND(ISNUMBER(D66),D66&lt;=EQ_G,D66&gt;=EQ_R)</formula>
    </cfRule>
    <cfRule type="expression" priority="504" aboveAverage="0" equalAverage="0" bottom="0" percent="0" rank="0" text="" dxfId="0">
      <formula>AND(ISNUMBER(D66),D66&lt;EQ_R)</formula>
    </cfRule>
    <cfRule type="expression" priority="505" aboveAverage="0" equalAverage="0" bottom="0" percent="0" rank="0" text="" dxfId="3">
      <formula>D66="N/A"</formula>
    </cfRule>
  </conditionalFormatting>
  <conditionalFormatting sqref="F66">
    <cfRule type="expression" priority="506" aboveAverage="0" equalAverage="0" bottom="0" percent="0" rank="0" text="" dxfId="1">
      <formula>AND(ISNUMBER(F66),F66&gt;INSP_G)</formula>
    </cfRule>
    <cfRule type="expression" priority="507" aboveAverage="0" equalAverage="0" bottom="0" percent="0" rank="0" text="" dxfId="2">
      <formula>AND(ISNUMBER(F66),F66&lt;=INSP_G,F66&gt;=INSP_R)</formula>
    </cfRule>
    <cfRule type="expression" priority="508" aboveAverage="0" equalAverage="0" bottom="0" percent="0" rank="0" text="" dxfId="0">
      <formula>AND(ISNUMBER(F66),F66&lt;INSP_R)</formula>
    </cfRule>
    <cfRule type="expression" priority="509" aboveAverage="0" equalAverage="0" bottom="0" percent="0" rank="0" text="" dxfId="3">
      <formula>F66="N/A"</formula>
    </cfRule>
  </conditionalFormatting>
  <conditionalFormatting sqref="H66">
    <cfRule type="expression" priority="510" aboveAverage="0" equalAverage="0" bottom="0" percent="0" rank="0" text="" dxfId="1">
      <formula>AND(ISNUMBER(H66),H66&gt;LTR_G)</formula>
    </cfRule>
    <cfRule type="expression" priority="511" aboveAverage="0" equalAverage="0" bottom="0" percent="0" rank="0" text="" dxfId="2">
      <formula>AND(ISNUMBER(H66),H66&lt;=LTR_G,H66&gt;=LTR_R)</formula>
    </cfRule>
    <cfRule type="expression" priority="512" aboveAverage="0" equalAverage="0" bottom="0" percent="0" rank="0" text="" dxfId="0">
      <formula>AND(ISNUMBER(H66),H66&lt;LTR_R)</formula>
    </cfRule>
    <cfRule type="expression" priority="513" aboveAverage="0" equalAverage="0" bottom="0" percent="0" rank="0" text="" dxfId="3">
      <formula>H66="N/A"</formula>
    </cfRule>
  </conditionalFormatting>
  <conditionalFormatting sqref="B67">
    <cfRule type="expression" priority="514" aboveAverage="0" equalAverage="0" bottom="0" percent="0" rank="0" text="" dxfId="1">
      <formula>AND(ISNUMBER(B67),B67&lt;=NCR_G)</formula>
    </cfRule>
    <cfRule type="expression" priority="515" aboveAverage="0" equalAverage="0" bottom="0" percent="0" rank="0" text="" dxfId="2">
      <formula>AND(ISNUMBER(B67),B67&gt;NCR_G,B67&lt;NCR_R)</formula>
    </cfRule>
    <cfRule type="expression" priority="516" aboveAverage="0" equalAverage="0" bottom="0" percent="0" rank="0" text="" dxfId="0">
      <formula>AND(ISNUMBER(B67),B67&gt;=NCR_R)</formula>
    </cfRule>
    <cfRule type="expression" priority="517" aboveAverage="0" equalAverage="0" bottom="0" percent="0" rank="0" text="" dxfId="3">
      <formula>B67="N/A"</formula>
    </cfRule>
  </conditionalFormatting>
  <conditionalFormatting sqref="D67">
    <cfRule type="expression" priority="518" aboveAverage="0" equalAverage="0" bottom="0" percent="0" rank="0" text="" dxfId="1">
      <formula>AND(ISNUMBER(D67),D67&gt;EQ_G)</formula>
    </cfRule>
    <cfRule type="expression" priority="519" aboveAverage="0" equalAverage="0" bottom="0" percent="0" rank="0" text="" dxfId="2">
      <formula>AND(ISNUMBER(D67),D67&lt;=EQ_G,D67&gt;=EQ_R)</formula>
    </cfRule>
    <cfRule type="expression" priority="520" aboveAverage="0" equalAverage="0" bottom="0" percent="0" rank="0" text="" dxfId="0">
      <formula>AND(ISNUMBER(D67),D67&lt;EQ_R)</formula>
    </cfRule>
    <cfRule type="expression" priority="521" aboveAverage="0" equalAverage="0" bottom="0" percent="0" rank="0" text="" dxfId="3">
      <formula>D67="N/A"</formula>
    </cfRule>
  </conditionalFormatting>
  <conditionalFormatting sqref="F67">
    <cfRule type="expression" priority="522" aboveAverage="0" equalAverage="0" bottom="0" percent="0" rank="0" text="" dxfId="1">
      <formula>AND(ISNUMBER(F67),F67&gt;INSP_G)</formula>
    </cfRule>
    <cfRule type="expression" priority="523" aboveAverage="0" equalAverage="0" bottom="0" percent="0" rank="0" text="" dxfId="2">
      <formula>AND(ISNUMBER(F67),F67&lt;=INSP_G,F67&gt;=INSP_R)</formula>
    </cfRule>
    <cfRule type="expression" priority="524" aboveAverage="0" equalAverage="0" bottom="0" percent="0" rank="0" text="" dxfId="0">
      <formula>AND(ISNUMBER(F67),F67&lt;INSP_R)</formula>
    </cfRule>
    <cfRule type="expression" priority="525" aboveAverage="0" equalAverage="0" bottom="0" percent="0" rank="0" text="" dxfId="3">
      <formula>F67="N/A"</formula>
    </cfRule>
  </conditionalFormatting>
  <conditionalFormatting sqref="H67">
    <cfRule type="expression" priority="526" aboveAverage="0" equalAverage="0" bottom="0" percent="0" rank="0" text="" dxfId="1">
      <formula>AND(ISNUMBER(H67),H67&gt;LTR_G)</formula>
    </cfRule>
    <cfRule type="expression" priority="527" aboveAverage="0" equalAverage="0" bottom="0" percent="0" rank="0" text="" dxfId="2">
      <formula>AND(ISNUMBER(H67),H67&lt;=LTR_G,H67&gt;=LTR_R)</formula>
    </cfRule>
    <cfRule type="expression" priority="528" aboveAverage="0" equalAverage="0" bottom="0" percent="0" rank="0" text="" dxfId="0">
      <formula>AND(ISNUMBER(H67),H67&lt;LTR_R)</formula>
    </cfRule>
    <cfRule type="expression" priority="529" aboveAverage="0" equalAverage="0" bottom="0" percent="0" rank="0" text="" dxfId="3">
      <formula>H67="N/A"</formula>
    </cfRule>
  </conditionalFormatting>
  <conditionalFormatting sqref="B68">
    <cfRule type="expression" priority="530" aboveAverage="0" equalAverage="0" bottom="0" percent="0" rank="0" text="" dxfId="1">
      <formula>AND(ISNUMBER(B68),B68&lt;=NCR_G)</formula>
    </cfRule>
    <cfRule type="expression" priority="531" aboveAverage="0" equalAverage="0" bottom="0" percent="0" rank="0" text="" dxfId="2">
      <formula>AND(ISNUMBER(B68),B68&gt;NCR_G,B68&lt;NCR_R)</formula>
    </cfRule>
    <cfRule type="expression" priority="532" aboveAverage="0" equalAverage="0" bottom="0" percent="0" rank="0" text="" dxfId="0">
      <formula>AND(ISNUMBER(B68),B68&gt;=NCR_R)</formula>
    </cfRule>
    <cfRule type="expression" priority="533" aboveAverage="0" equalAverage="0" bottom="0" percent="0" rank="0" text="" dxfId="3">
      <formula>B68="N/A"</formula>
    </cfRule>
  </conditionalFormatting>
  <conditionalFormatting sqref="D68">
    <cfRule type="expression" priority="534" aboveAverage="0" equalAverage="0" bottom="0" percent="0" rank="0" text="" dxfId="1">
      <formula>AND(ISNUMBER(D68),D68&gt;EQ_G)</formula>
    </cfRule>
    <cfRule type="expression" priority="535" aboveAverage="0" equalAverage="0" bottom="0" percent="0" rank="0" text="" dxfId="2">
      <formula>AND(ISNUMBER(D68),D68&lt;=EQ_G,D68&gt;=EQ_R)</formula>
    </cfRule>
    <cfRule type="expression" priority="536" aboveAverage="0" equalAverage="0" bottom="0" percent="0" rank="0" text="" dxfId="0">
      <formula>AND(ISNUMBER(D68),D68&lt;EQ_R)</formula>
    </cfRule>
    <cfRule type="expression" priority="537" aboveAverage="0" equalAverage="0" bottom="0" percent="0" rank="0" text="" dxfId="3">
      <formula>D68="N/A"</formula>
    </cfRule>
  </conditionalFormatting>
  <conditionalFormatting sqref="F68">
    <cfRule type="expression" priority="538" aboveAverage="0" equalAverage="0" bottom="0" percent="0" rank="0" text="" dxfId="1">
      <formula>AND(ISNUMBER(F68),F68&gt;INSP_G)</formula>
    </cfRule>
    <cfRule type="expression" priority="539" aboveAverage="0" equalAverage="0" bottom="0" percent="0" rank="0" text="" dxfId="2">
      <formula>AND(ISNUMBER(F68),F68&lt;=INSP_G,F68&gt;=INSP_R)</formula>
    </cfRule>
    <cfRule type="expression" priority="540" aboveAverage="0" equalAverage="0" bottom="0" percent="0" rank="0" text="" dxfId="0">
      <formula>AND(ISNUMBER(F68),F68&lt;INSP_R)</formula>
    </cfRule>
    <cfRule type="expression" priority="541" aboveAverage="0" equalAverage="0" bottom="0" percent="0" rank="0" text="" dxfId="3">
      <formula>F68="N/A"</formula>
    </cfRule>
  </conditionalFormatting>
  <conditionalFormatting sqref="H68">
    <cfRule type="expression" priority="542" aboveAverage="0" equalAverage="0" bottom="0" percent="0" rank="0" text="" dxfId="1">
      <formula>AND(ISNUMBER(H68),H68&gt;LTR_G)</formula>
    </cfRule>
    <cfRule type="expression" priority="543" aboveAverage="0" equalAverage="0" bottom="0" percent="0" rank="0" text="" dxfId="2">
      <formula>AND(ISNUMBER(H68),H68&lt;=LTR_G,H68&gt;=LTR_R)</formula>
    </cfRule>
    <cfRule type="expression" priority="544" aboveAverage="0" equalAverage="0" bottom="0" percent="0" rank="0" text="" dxfId="0">
      <formula>AND(ISNUMBER(H68),H68&lt;LTR_R)</formula>
    </cfRule>
    <cfRule type="expression" priority="545" aboveAverage="0" equalAverage="0" bottom="0" percent="0" rank="0" text="" dxfId="3">
      <formula>H68="N/A"</formula>
    </cfRule>
  </conditionalFormatting>
  <dataValidations count="1">
    <dataValidation allowBlank="true" error="Enter a whole number of 0 or more." errorStyle="stop" errorTitle="Whole number required" operator="greaterThanOrEqual" showDropDown="false" showErrorMessage="true" showInputMessage="false" sqref="B76:M83 B89:M96 B102:B109 D102:I109" type="whole">
      <formula1>0</formula1>
      <formula2>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7A"/>
    <pageSetUpPr fitToPage="true"/>
  </sheetPr>
  <dimension ref="A1:M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3" min="2" style="0" width="12"/>
  </cols>
  <sheetData>
    <row r="1" customFormat="false" ht="6" hidden="false" customHeight="true" outlineLevel="0" collapsed="false"/>
    <row r="2" customFormat="false" ht="31.5" hidden="false" customHeight="true" outlineLevel="0" collapsed="false">
      <c r="A2" s="1" t="s">
        <v>110</v>
      </c>
      <c r="B2" s="1"/>
      <c r="C2" s="1"/>
      <c r="D2" s="1"/>
      <c r="E2" s="1"/>
      <c r="F2" s="1"/>
      <c r="G2" s="1"/>
      <c r="H2" s="1"/>
      <c r="I2" s="17" t="str">
        <f aca="false">PeriodText</f>
        <v>Period 7 – 23/10/2026</v>
      </c>
      <c r="J2" s="17"/>
      <c r="K2" s="17"/>
      <c r="L2" s="17"/>
      <c r="M2" s="17"/>
    </row>
    <row r="3" customFormat="false" ht="15.75" hidden="false" customHeight="true" outlineLevel="0" collapsed="false">
      <c r="J3" s="52" t="str">
        <f aca="false">HYPERLINK("#'Repro Decom'!A70","Go to project data entry ▼")</f>
        <v>Go to project data entry ▼</v>
      </c>
      <c r="K3" s="52"/>
      <c r="L3" s="52"/>
      <c r="M3" s="52"/>
    </row>
    <row r="4" customFormat="false" ht="21.75" hidden="false" customHeight="true" outlineLevel="0" collapsed="false">
      <c r="A4" s="3" t="s">
        <v>40</v>
      </c>
      <c r="B4" s="4"/>
      <c r="C4" s="4"/>
      <c r="D4" s="4"/>
      <c r="E4" s="4"/>
      <c r="F4" s="4"/>
      <c r="G4" s="4"/>
      <c r="H4" s="4"/>
      <c r="I4" s="4"/>
      <c r="J4" s="18" t="s">
        <v>41</v>
      </c>
      <c r="K4" s="19" t="str">
        <f aca="false">"&gt;"&amp;TEXT(PBI_G,"0%")</f>
        <v>&gt;90%</v>
      </c>
      <c r="L4" s="20" t="str">
        <f aca="false">TEXT(PBI_R,"0%")&amp;" – "&amp;TEXT(PBI_G,"0%")</f>
        <v>75% – 90%</v>
      </c>
      <c r="M4" s="21" t="str">
        <f aca="false">"&lt;"&amp;TEXT(PBI_R,"0%")</f>
        <v>&lt;75%</v>
      </c>
    </row>
    <row r="5" customFormat="false" ht="33.75" hidden="false" customHeight="true" outlineLevel="0" collapsed="false">
      <c r="B5" s="14" t="s">
        <v>42</v>
      </c>
      <c r="C5" s="14"/>
      <c r="D5" s="14" t="s">
        <v>43</v>
      </c>
      <c r="E5" s="14"/>
      <c r="F5" s="14" t="s">
        <v>44</v>
      </c>
      <c r="G5" s="14"/>
      <c r="H5" s="14" t="s">
        <v>45</v>
      </c>
      <c r="I5" s="14"/>
      <c r="J5" s="14" t="s">
        <v>46</v>
      </c>
      <c r="K5" s="14"/>
      <c r="L5" s="14" t="s">
        <v>47</v>
      </c>
      <c r="M5" s="14"/>
    </row>
    <row r="6" customFormat="false" ht="21.75" hidden="false" customHeight="true" outlineLevel="0" collapsed="false">
      <c r="A6" s="22" t="str">
        <f aca="false">PrevLbl&amp;" (previous)"</f>
        <v>P6 (previous)</v>
      </c>
      <c r="B6" s="23" t="str">
        <f aca="false">IF(N(C97)=0,"N/A",N(B97)/C97)</f>
        <v>N/A</v>
      </c>
      <c r="C6" s="23"/>
      <c r="D6" s="23" t="str">
        <f aca="false">IF(N(E97)=0,"N/A",N(D97)/E97)</f>
        <v>N/A</v>
      </c>
      <c r="E6" s="23"/>
      <c r="F6" s="23" t="str">
        <f aca="false">IF(N(G97)=0,"N/A",N(F97)/G97)</f>
        <v>N/A</v>
      </c>
      <c r="G6" s="23"/>
      <c r="H6" s="23" t="str">
        <f aca="false">IF(N(I97)=0,"N/A",N(H97)/I97)</f>
        <v>N/A</v>
      </c>
      <c r="I6" s="23"/>
      <c r="J6" s="23" t="str">
        <f aca="false">IF(N(K97)=0,"N/A",N(J97)/K97)</f>
        <v>N/A</v>
      </c>
      <c r="K6" s="23"/>
      <c r="L6" s="23" t="str">
        <f aca="false">IF(N(M97)=0,"N/A",N(L97)/M97)</f>
        <v>N/A</v>
      </c>
      <c r="M6" s="23"/>
    </row>
    <row r="7" customFormat="false" ht="15" hidden="false" customHeight="true" outlineLevel="0" collapsed="false">
      <c r="B7" s="24" t="str">
        <f aca="false">IF(N(C97)=0,"",N(B97)&amp;"/"&amp;C97)</f>
        <v/>
      </c>
      <c r="C7" s="24"/>
      <c r="D7" s="24" t="str">
        <f aca="false">IF(N(E97)=0,"",N(D97)&amp;"/"&amp;E97)</f>
        <v/>
      </c>
      <c r="E7" s="24"/>
      <c r="F7" s="24" t="str">
        <f aca="false">IF(N(G97)=0,"",N(F97)&amp;"/"&amp;G97)</f>
        <v/>
      </c>
      <c r="G7" s="24"/>
      <c r="H7" s="24" t="str">
        <f aca="false">IF(N(I97)=0,"",N(H97)&amp;"/"&amp;I97)</f>
        <v/>
      </c>
      <c r="I7" s="24"/>
      <c r="J7" s="24" t="str">
        <f aca="false">IF(N(K97)=0,"",N(J97)&amp;"/"&amp;K97)</f>
        <v/>
      </c>
      <c r="K7" s="24"/>
      <c r="L7" s="24" t="str">
        <f aca="false">IF(N(M97)=0,"",N(L97)&amp;"/"&amp;M97)</f>
        <v/>
      </c>
      <c r="M7" s="24"/>
    </row>
    <row r="8" customFormat="false" ht="15" hidden="false" customHeight="true" outlineLevel="0" collapsed="false">
      <c r="B8" s="25" t="str">
        <f aca="false">IF(NOT(ISNUMBER(B6)),"N/A",IF(B6&gt;PBI_G,"Green",IF(B6&lt;PBI_R,"Red","Amber")))</f>
        <v>N/A</v>
      </c>
      <c r="C8" s="25"/>
      <c r="D8" s="25" t="str">
        <f aca="false">IF(NOT(ISNUMBER(D6)),"N/A",IF(D6&gt;PBI_G,"Green",IF(D6&lt;PBI_R,"Red","Amber")))</f>
        <v>N/A</v>
      </c>
      <c r="E8" s="25"/>
      <c r="F8" s="25" t="str">
        <f aca="false">IF(NOT(ISNUMBER(F6)),"N/A",IF(F6&gt;PBI_G,"Green",IF(F6&lt;PBI_R,"Red","Amber")))</f>
        <v>N/A</v>
      </c>
      <c r="G8" s="25"/>
      <c r="H8" s="25" t="str">
        <f aca="false">IF(NOT(ISNUMBER(H6)),"N/A",IF(H6&gt;PBI_G,"Green",IF(H6&lt;PBI_R,"Red","Amber")))</f>
        <v>N/A</v>
      </c>
      <c r="I8" s="25"/>
      <c r="J8" s="25" t="str">
        <f aca="false">IF(NOT(ISNUMBER(J6)),"N/A",IF(J6&gt;PBI_G,"Green",IF(J6&lt;PBI_R,"Red","Amber")))</f>
        <v>N/A</v>
      </c>
      <c r="K8" s="25"/>
      <c r="L8" s="25" t="str">
        <f aca="false">IF(NOT(ISNUMBER(L6)),"N/A",IF(L6&gt;PBI_G,"Green",IF(L6&lt;PBI_R,"Red","Amber")))</f>
        <v>N/A</v>
      </c>
      <c r="M8" s="25"/>
    </row>
    <row r="9" customFormat="false" ht="6" hidden="false" customHeight="true" outlineLevel="0" collapsed="false"/>
    <row r="10" customFormat="false" ht="36" hidden="false" customHeight="true" outlineLevel="0" collapsed="false">
      <c r="A10" s="26" t="str">
        <f aca="false">CurLbl&amp;" (current)"</f>
        <v>P7 (current)</v>
      </c>
      <c r="B10" s="27" t="str">
        <f aca="false">IF(N(C84)=0,"N/A",N(B84)/C84)</f>
        <v>N/A</v>
      </c>
      <c r="C10" s="27"/>
      <c r="D10" s="27" t="str">
        <f aca="false">IF(N(E84)=0,"N/A",N(D84)/E84)</f>
        <v>N/A</v>
      </c>
      <c r="E10" s="27"/>
      <c r="F10" s="27" t="str">
        <f aca="false">IF(N(G84)=0,"N/A",N(F84)/G84)</f>
        <v>N/A</v>
      </c>
      <c r="G10" s="27"/>
      <c r="H10" s="27" t="str">
        <f aca="false">IF(N(I84)=0,"N/A",N(H84)/I84)</f>
        <v>N/A</v>
      </c>
      <c r="I10" s="27"/>
      <c r="J10" s="27" t="str">
        <f aca="false">IF(N(K84)=0,"N/A",N(J84)/K84)</f>
        <v>N/A</v>
      </c>
      <c r="K10" s="27"/>
      <c r="L10" s="27" t="str">
        <f aca="false">IF(N(M84)=0,"N/A",N(L84)/M84)</f>
        <v>N/A</v>
      </c>
      <c r="M10" s="27"/>
    </row>
    <row r="11" customFormat="false" ht="15.75" hidden="false" customHeight="true" outlineLevel="0" collapsed="false">
      <c r="B11" s="24" t="str">
        <f aca="false">IF(N(C84)=0,"",N(B84)&amp;"/"&amp;C84)</f>
        <v/>
      </c>
      <c r="C11" s="24"/>
      <c r="D11" s="24" t="str">
        <f aca="false">IF(N(E84)=0,"",N(D84)&amp;"/"&amp;E84)</f>
        <v/>
      </c>
      <c r="E11" s="24"/>
      <c r="F11" s="24" t="str">
        <f aca="false">IF(N(G84)=0,"",N(F84)&amp;"/"&amp;G84)</f>
        <v/>
      </c>
      <c r="G11" s="24"/>
      <c r="H11" s="24" t="str">
        <f aca="false">IF(N(I84)=0,"",N(H84)&amp;"/"&amp;I84)</f>
        <v/>
      </c>
      <c r="I11" s="24"/>
      <c r="J11" s="24" t="str">
        <f aca="false">IF(N(K84)=0,"",N(J84)&amp;"/"&amp;K84)</f>
        <v/>
      </c>
      <c r="K11" s="24"/>
      <c r="L11" s="24" t="str">
        <f aca="false">IF(N(M84)=0,"",N(L84)&amp;"/"&amp;M84)</f>
        <v/>
      </c>
      <c r="M11" s="24"/>
    </row>
    <row r="12" customFormat="false" ht="15.75" hidden="false" customHeight="true" outlineLevel="0" collapsed="false">
      <c r="B12" s="25" t="str">
        <f aca="false">IF(NOT(ISNUMBER(B10)),"N/A",IF(B10&gt;PBI_G,"Green",IF(B10&lt;PBI_R,"Red","Amber")))</f>
        <v>N/A</v>
      </c>
      <c r="C12" s="25"/>
      <c r="D12" s="25" t="str">
        <f aca="false">IF(NOT(ISNUMBER(D10)),"N/A",IF(D10&gt;PBI_G,"Green",IF(D10&lt;PBI_R,"Red","Amber")))</f>
        <v>N/A</v>
      </c>
      <c r="E12" s="25"/>
      <c r="F12" s="25" t="str">
        <f aca="false">IF(NOT(ISNUMBER(F10)),"N/A",IF(F10&gt;PBI_G,"Green",IF(F10&lt;PBI_R,"Red","Amber")))</f>
        <v>N/A</v>
      </c>
      <c r="G12" s="25"/>
      <c r="H12" s="25" t="str">
        <f aca="false">IF(NOT(ISNUMBER(H10)),"N/A",IF(H10&gt;PBI_G,"Green",IF(H10&lt;PBI_R,"Red","Amber")))</f>
        <v>N/A</v>
      </c>
      <c r="I12" s="25"/>
      <c r="J12" s="25" t="str">
        <f aca="false">IF(NOT(ISNUMBER(J10)),"N/A",IF(J10&gt;PBI_G,"Green",IF(J10&lt;PBI_R,"Red","Amber")))</f>
        <v>N/A</v>
      </c>
      <c r="K12" s="25"/>
      <c r="L12" s="25" t="str">
        <f aca="false">IF(NOT(ISNUMBER(L10)),"N/A",IF(L10&gt;PBI_G,"Green",IF(L10&lt;PBI_R,"Red","Amber")))</f>
        <v>N/A</v>
      </c>
      <c r="M12" s="25"/>
    </row>
    <row r="13" customFormat="false" ht="15.75" hidden="false" customHeight="true" outlineLevel="0" collapsed="false">
      <c r="A13" s="28" t="s">
        <v>48</v>
      </c>
      <c r="B13" s="29" t="str">
        <f aca="false">IF(OR(NOT(ISNUMBER(B6)),NOT(ISNUMBER(B10))),"–",IF(ROUND(B10-B6,4)&gt;0,"▲ ",IF(ROUND(B10-B6,4)&lt;0,"▼ ","► "))&amp;TEXT(ABS(B10-B6)*100,"0.0")&amp;" pts vs "&amp;PrevLbl)</f>
        <v>–</v>
      </c>
      <c r="C13" s="29"/>
      <c r="D13" s="29" t="str">
        <f aca="false">IF(OR(NOT(ISNUMBER(D6)),NOT(ISNUMBER(D10))),"–",IF(ROUND(D10-D6,4)&gt;0,"▲ ",IF(ROUND(D10-D6,4)&lt;0,"▼ ","► "))&amp;TEXT(ABS(D10-D6)*100,"0.0")&amp;" pts vs "&amp;PrevLbl)</f>
        <v>–</v>
      </c>
      <c r="E13" s="29"/>
      <c r="F13" s="29" t="str">
        <f aca="false">IF(OR(NOT(ISNUMBER(F6)),NOT(ISNUMBER(F10))),"–",IF(ROUND(F10-F6,4)&gt;0,"▲ ",IF(ROUND(F10-F6,4)&lt;0,"▼ ","► "))&amp;TEXT(ABS(F10-F6)*100,"0.0")&amp;" pts vs "&amp;PrevLbl)</f>
        <v>–</v>
      </c>
      <c r="G13" s="29"/>
      <c r="H13" s="29" t="str">
        <f aca="false">IF(OR(NOT(ISNUMBER(H6)),NOT(ISNUMBER(H10))),"–",IF(ROUND(H10-H6,4)&gt;0,"▲ ",IF(ROUND(H10-H6,4)&lt;0,"▼ ","► "))&amp;TEXT(ABS(H10-H6)*100,"0.0")&amp;" pts vs "&amp;PrevLbl)</f>
        <v>–</v>
      </c>
      <c r="I13" s="29"/>
      <c r="J13" s="29" t="str">
        <f aca="false">IF(OR(NOT(ISNUMBER(J6)),NOT(ISNUMBER(J10))),"–",IF(ROUND(J10-J6,4)&gt;0,"▲ ",IF(ROUND(J10-J6,4)&lt;0,"▼ ","► "))&amp;TEXT(ABS(J10-J6)*100,"0.0")&amp;" pts vs "&amp;PrevLbl)</f>
        <v>–</v>
      </c>
      <c r="K13" s="29"/>
      <c r="L13" s="29" t="str">
        <f aca="false">IF(OR(NOT(ISNUMBER(L6)),NOT(ISNUMBER(L10))),"–",IF(ROUND(L10-L6,4)&gt;0,"▲ ",IF(ROUND(L10-L6,4)&lt;0,"▼ ","► "))&amp;TEXT(ABS(L10-L6)*100,"0.0")&amp;" pts vs "&amp;PrevLbl)</f>
        <v>–</v>
      </c>
      <c r="M13" s="29"/>
    </row>
    <row r="14" customFormat="false" ht="9.75" hidden="false" customHeight="true" outlineLevel="0" collapsed="false"/>
    <row r="15" customFormat="false" ht="21.75" hidden="false" customHeight="true" outlineLevel="0" collapsed="false">
      <c r="A15" s="3" t="s">
        <v>49</v>
      </c>
      <c r="B15" s="4"/>
      <c r="C15" s="4"/>
      <c r="D15" s="4"/>
      <c r="E15" s="4"/>
      <c r="F15" s="4"/>
      <c r="G15" s="4"/>
      <c r="H15" s="4"/>
      <c r="I15" s="4"/>
    </row>
    <row r="16" customFormat="false" ht="33.75" hidden="false" customHeight="true" outlineLevel="0" collapsed="false">
      <c r="B16" s="14" t="s">
        <v>50</v>
      </c>
      <c r="C16" s="14"/>
      <c r="D16" s="14" t="s">
        <v>51</v>
      </c>
      <c r="E16" s="14"/>
      <c r="F16" s="14" t="s">
        <v>52</v>
      </c>
      <c r="G16" s="14"/>
      <c r="H16" s="14" t="s">
        <v>53</v>
      </c>
      <c r="I16" s="14"/>
      <c r="J16" s="30" t="s">
        <v>85</v>
      </c>
      <c r="K16" s="30"/>
      <c r="L16" s="30"/>
      <c r="M16" s="30"/>
    </row>
    <row r="17" customFormat="false" ht="30" hidden="false" customHeight="true" outlineLevel="0" collapsed="false">
      <c r="B17" s="31" t="str">
        <f aca="false">"Green ≤"&amp;NCR_G&amp;" · Amber "&amp;(NCR_G+1)&amp;"–"&amp;(NCR_R-1)&amp;" · Red ≥"&amp;NCR_R</f>
        <v>Green ≤2 · Amber 3–5 · Red ≥6</v>
      </c>
      <c r="C17" s="31"/>
      <c r="D17" s="31" t="str">
        <f aca="false">"Green &gt;"&amp;TEXT(EQ_G,"0%")&amp;" · Amber "&amp;TEXT(EQ_R,"0%")&amp;"–"&amp;TEXT(EQ_G,"0%")&amp;" · Red &lt;"&amp;TEXT(EQ_R,"0%")</f>
        <v>Green &gt;80% · Amber 70%–80% · Red &lt;70%</v>
      </c>
      <c r="E17" s="31"/>
      <c r="F17" s="31" t="str">
        <f aca="false">"Green &gt;"&amp;TEXT(INSP_G,"0%")&amp;" · Amber "&amp;TEXT(INSP_R,"0%")&amp;"–"&amp;TEXT(INSP_G,"0%")&amp;" · Red &lt;"&amp;TEXT(INSP_R,"0%")</f>
        <v>Green &gt;95% · Amber 90%–95% · Red &lt;90%</v>
      </c>
      <c r="G17" s="31"/>
      <c r="H17" s="31" t="str">
        <f aca="false">"Green &gt;"&amp;TEXT(LTR_G,"0%")&amp;" · Amber "&amp;TEXT(LTR_R,"0%")&amp;"–"&amp;TEXT(LTR_G,"0%")&amp;" · Red &lt;"&amp;TEXT(LTR_R,"0%")</f>
        <v>Green &gt;95% · Amber 70%–95% · Red &lt;70%</v>
      </c>
      <c r="I17" s="31"/>
      <c r="J17" s="32"/>
      <c r="K17" s="32"/>
      <c r="L17" s="32"/>
      <c r="M17" s="32"/>
    </row>
    <row r="18" customFormat="false" ht="36" hidden="false" customHeight="true" outlineLevel="0" collapsed="false">
      <c r="A18" s="26" t="str">
        <f aca="false">CurLbl&amp;" (current)"</f>
        <v>P7 (current)</v>
      </c>
      <c r="B18" s="33" t="str">
        <f aca="false">IF(ISNUMBER(B110),B110,"N/A")</f>
        <v>N/A</v>
      </c>
      <c r="C18" s="33"/>
      <c r="D18" s="27" t="str">
        <f aca="false">IF(N(E110)=0,"N/A",N(D110)/E110)</f>
        <v>N/A</v>
      </c>
      <c r="E18" s="27"/>
      <c r="F18" s="27" t="str">
        <f aca="false">IF(N(G110)=0,"N/A",N(F110)/G110)</f>
        <v>N/A</v>
      </c>
      <c r="G18" s="27"/>
      <c r="H18" s="27" t="str">
        <f aca="false">IF(N(I110)=0,"N/A",N(H110)/I110)</f>
        <v>N/A</v>
      </c>
      <c r="I18" s="27"/>
      <c r="J18" s="32"/>
      <c r="K18" s="32"/>
      <c r="L18" s="32"/>
      <c r="M18" s="32"/>
    </row>
    <row r="19" customFormat="false" ht="15.75" hidden="false" customHeight="true" outlineLevel="0" collapsed="false">
      <c r="B19" s="24" t="str">
        <f aca="false">IF(ISNUMBER(B110),"live NCRs","")</f>
        <v/>
      </c>
      <c r="C19" s="24"/>
      <c r="D19" s="24" t="str">
        <f aca="false">IF(N(E110)=0,"",N(D110)&amp;"/"&amp;E110)</f>
        <v/>
      </c>
      <c r="E19" s="24"/>
      <c r="F19" s="24" t="str">
        <f aca="false">IF(N(G110)=0,"",N(F110)&amp;"/"&amp;G110)</f>
        <v/>
      </c>
      <c r="G19" s="24"/>
      <c r="H19" s="24" t="str">
        <f aca="false">IF(N(I110)=0,"",N(H110)&amp;"/"&amp;I110)</f>
        <v/>
      </c>
      <c r="I19" s="24"/>
      <c r="J19" s="32"/>
      <c r="K19" s="32"/>
      <c r="L19" s="32"/>
      <c r="M19" s="32"/>
    </row>
    <row r="20" customFormat="false" ht="15.75" hidden="false" customHeight="true" outlineLevel="0" collapsed="false">
      <c r="B20" s="25" t="str">
        <f aca="false">IF(NOT(ISNUMBER(B18)),"N/A",IF(B18&lt;=NCR_G,"Green",IF(B18&gt;=NCR_R,"Red","Amber")))</f>
        <v>N/A</v>
      </c>
      <c r="C20" s="25"/>
      <c r="D20" s="25" t="str">
        <f aca="false">IF(NOT(ISNUMBER(D18)),"N/A",IF(D18&gt;EQ_G,"Green",IF(D18&lt;EQ_R,"Red","Amber")))</f>
        <v>N/A</v>
      </c>
      <c r="E20" s="25"/>
      <c r="F20" s="25" t="str">
        <f aca="false">IF(NOT(ISNUMBER(F18)),"N/A",IF(F18&gt;INSP_G,"Green",IF(F18&lt;INSP_R,"Red","Amber")))</f>
        <v>N/A</v>
      </c>
      <c r="G20" s="25"/>
      <c r="H20" s="25" t="str">
        <f aca="false">IF(NOT(ISNUMBER(H18)),"N/A",IF(H18&gt;LTR_G,"Green",IF(H18&lt;LTR_R,"Red","Amber")))</f>
        <v>N/A</v>
      </c>
      <c r="I20" s="25"/>
      <c r="J20" s="32"/>
      <c r="K20" s="32"/>
      <c r="L20" s="32"/>
      <c r="M20" s="32"/>
    </row>
    <row r="21" customFormat="false" ht="9.75" hidden="false" customHeight="true" outlineLevel="0" collapsed="false">
      <c r="J21" s="32"/>
      <c r="K21" s="32"/>
      <c r="L21" s="32"/>
      <c r="M21" s="32"/>
    </row>
    <row r="22" customFormat="false" ht="21.75" hidden="false" customHeight="true" outlineLevel="0" collapsed="false">
      <c r="A22" s="3" t="s">
        <v>86</v>
      </c>
      <c r="B22" s="4"/>
      <c r="C22" s="4"/>
      <c r="D22" s="4"/>
      <c r="E22" s="4"/>
      <c r="F22" s="4"/>
      <c r="G22" s="4"/>
      <c r="H22" s="4"/>
      <c r="I22" s="4"/>
      <c r="J22" s="32"/>
      <c r="K22" s="32"/>
      <c r="L22" s="32"/>
      <c r="M22" s="32"/>
    </row>
    <row r="23" customFormat="false" ht="15" hidden="false" customHeight="true" outlineLevel="0" collapsed="false">
      <c r="A23" s="36" t="s">
        <v>25</v>
      </c>
      <c r="B23" s="14" t="s">
        <v>87</v>
      </c>
      <c r="C23" s="14"/>
      <c r="D23" s="14" t="s">
        <v>51</v>
      </c>
      <c r="E23" s="14"/>
      <c r="F23" s="14" t="s">
        <v>52</v>
      </c>
      <c r="G23" s="14"/>
      <c r="H23" s="14" t="s">
        <v>53</v>
      </c>
      <c r="I23" s="14"/>
      <c r="J23" s="32"/>
      <c r="K23" s="32"/>
      <c r="L23" s="32"/>
      <c r="M23" s="32"/>
    </row>
    <row r="24" customFormat="false" ht="31.5" hidden="false" customHeight="true" outlineLevel="0" collapsed="false">
      <c r="A24" s="46" t="s">
        <v>111</v>
      </c>
      <c r="B24" s="45"/>
      <c r="C24" s="45"/>
      <c r="D24" s="45"/>
      <c r="E24" s="45"/>
      <c r="F24" s="45"/>
      <c r="G24" s="45"/>
      <c r="H24" s="45"/>
      <c r="I24" s="45"/>
      <c r="J24" s="32"/>
      <c r="K24" s="32"/>
      <c r="L24" s="32"/>
      <c r="M24" s="32"/>
    </row>
    <row r="25" customFormat="false" ht="31.5" hidden="false" customHeight="true" outlineLevel="0" collapsed="false">
      <c r="A25" s="46" t="str">
        <f aca="false">IF($A$76="","",$A$76)</f>
        <v>Project 1</v>
      </c>
      <c r="B25" s="45"/>
      <c r="C25" s="45"/>
      <c r="D25" s="45"/>
      <c r="E25" s="45"/>
      <c r="F25" s="45"/>
      <c r="G25" s="45"/>
      <c r="H25" s="45"/>
      <c r="I25" s="45"/>
      <c r="J25" s="32"/>
      <c r="K25" s="32"/>
      <c r="L25" s="32"/>
      <c r="M25" s="32"/>
    </row>
    <row r="26" customFormat="false" ht="31.5" hidden="false" customHeight="true" outlineLevel="0" collapsed="false">
      <c r="A26" s="46" t="str">
        <f aca="false">IF($A$77="","",$A$77)</f>
        <v>Project 2</v>
      </c>
      <c r="B26" s="45"/>
      <c r="C26" s="45"/>
      <c r="D26" s="45"/>
      <c r="E26" s="45"/>
      <c r="F26" s="45"/>
      <c r="G26" s="45"/>
      <c r="H26" s="45"/>
      <c r="I26" s="45"/>
      <c r="J26" s="32"/>
      <c r="K26" s="32"/>
      <c r="L26" s="32"/>
      <c r="M26" s="32"/>
    </row>
    <row r="27" customFormat="false" ht="31.5" hidden="false" customHeight="true" outlineLevel="0" collapsed="false">
      <c r="A27" s="46" t="str">
        <f aca="false">IF($A$78="","",$A$78)</f>
        <v>Project 3</v>
      </c>
      <c r="B27" s="45"/>
      <c r="C27" s="45"/>
      <c r="D27" s="45"/>
      <c r="E27" s="45"/>
      <c r="F27" s="45"/>
      <c r="G27" s="45"/>
      <c r="H27" s="45"/>
      <c r="I27" s="45"/>
      <c r="J27" s="32"/>
      <c r="K27" s="32"/>
      <c r="L27" s="32"/>
      <c r="M27" s="32"/>
    </row>
    <row r="28" customFormat="false" ht="31.5" hidden="false" customHeight="true" outlineLevel="0" collapsed="false">
      <c r="A28" s="46" t="str">
        <f aca="false">IF($A$79="","",$A$79)</f>
        <v>Project 4</v>
      </c>
      <c r="B28" s="45"/>
      <c r="C28" s="45"/>
      <c r="D28" s="45"/>
      <c r="E28" s="45"/>
      <c r="F28" s="45"/>
      <c r="G28" s="45"/>
      <c r="H28" s="45"/>
      <c r="I28" s="45"/>
      <c r="J28" s="32"/>
      <c r="K28" s="32"/>
      <c r="L28" s="32"/>
      <c r="M28" s="32"/>
    </row>
    <row r="29" customFormat="false" ht="31.5" hidden="false" customHeight="true" outlineLevel="0" collapsed="false">
      <c r="A29" s="46" t="str">
        <f aca="false">IF($A$80="","",$A$80)</f>
        <v>Project 5</v>
      </c>
      <c r="B29" s="45"/>
      <c r="C29" s="45"/>
      <c r="D29" s="45"/>
      <c r="E29" s="45"/>
      <c r="F29" s="45"/>
      <c r="G29" s="45"/>
      <c r="H29" s="45"/>
      <c r="I29" s="45"/>
      <c r="J29" s="32"/>
      <c r="K29" s="32"/>
      <c r="L29" s="32"/>
      <c r="M29" s="32"/>
    </row>
    <row r="30" customFormat="false" ht="31.5" hidden="false" customHeight="true" outlineLevel="0" collapsed="false">
      <c r="A30" s="46" t="str">
        <f aca="false">IF($A$81="","",$A$81)</f>
        <v>Project 6</v>
      </c>
      <c r="B30" s="45"/>
      <c r="C30" s="45"/>
      <c r="D30" s="45"/>
      <c r="E30" s="45"/>
      <c r="F30" s="45"/>
      <c r="G30" s="45"/>
      <c r="H30" s="45"/>
      <c r="I30" s="45"/>
      <c r="J30" s="32"/>
      <c r="K30" s="32"/>
      <c r="L30" s="32"/>
      <c r="M30" s="32"/>
    </row>
    <row r="31" customFormat="false" ht="31.5" hidden="false" customHeight="true" outlineLevel="0" collapsed="false">
      <c r="A31" s="46" t="str">
        <f aca="false">IF($A$82="","",$A$82)</f>
        <v/>
      </c>
      <c r="B31" s="45"/>
      <c r="C31" s="45"/>
      <c r="D31" s="45"/>
      <c r="E31" s="45"/>
      <c r="F31" s="45"/>
      <c r="G31" s="45"/>
      <c r="H31" s="45"/>
      <c r="I31" s="45"/>
      <c r="J31" s="32"/>
      <c r="K31" s="32"/>
      <c r="L31" s="32"/>
      <c r="M31" s="32"/>
    </row>
    <row r="32" customFormat="false" ht="31.5" hidden="false" customHeight="true" outlineLevel="0" collapsed="false">
      <c r="A32" s="46" t="str">
        <f aca="false">IF($A$83="","",$A$83)</f>
        <v/>
      </c>
      <c r="B32" s="45"/>
      <c r="C32" s="45"/>
      <c r="D32" s="45"/>
      <c r="E32" s="45"/>
      <c r="F32" s="45"/>
      <c r="G32" s="45"/>
      <c r="H32" s="45"/>
      <c r="I32" s="45"/>
      <c r="J32" s="32"/>
      <c r="K32" s="32"/>
      <c r="L32" s="32"/>
      <c r="M32" s="32"/>
    </row>
    <row r="34" customFormat="false" ht="21.75" hidden="false" customHeight="true" outlineLevel="0" collapsed="false">
      <c r="A34" s="3" t="s">
        <v>89</v>
      </c>
      <c r="B34" s="4"/>
      <c r="C34" s="4"/>
      <c r="D34" s="4"/>
      <c r="E34" s="4"/>
      <c r="F34" s="4"/>
      <c r="G34" s="4"/>
      <c r="H34" s="4"/>
      <c r="I34" s="4"/>
      <c r="J34" s="4"/>
      <c r="K34" s="4"/>
      <c r="L34" s="4"/>
      <c r="M34" s="4"/>
    </row>
    <row r="35" customFormat="false" ht="15" hidden="false" customHeight="true" outlineLevel="0" collapsed="false">
      <c r="A35" s="36" t="s">
        <v>90</v>
      </c>
      <c r="B35" s="30" t="s">
        <v>76</v>
      </c>
      <c r="C35" s="30"/>
      <c r="D35" s="30"/>
      <c r="E35" s="30" t="s">
        <v>77</v>
      </c>
      <c r="F35" s="30"/>
      <c r="G35" s="30"/>
      <c r="H35" s="30" t="s">
        <v>78</v>
      </c>
      <c r="I35" s="30"/>
      <c r="J35" s="30"/>
      <c r="K35" s="30" t="s">
        <v>79</v>
      </c>
      <c r="L35" s="30"/>
      <c r="M35" s="30"/>
    </row>
    <row r="36" customFormat="false" ht="39.75" hidden="false" customHeight="true" outlineLevel="0" collapsed="false">
      <c r="A36" s="46" t="s">
        <v>112</v>
      </c>
      <c r="B36" s="45"/>
      <c r="C36" s="45"/>
      <c r="D36" s="45"/>
      <c r="E36" s="45"/>
      <c r="F36" s="45"/>
      <c r="G36" s="45"/>
      <c r="H36" s="45"/>
      <c r="I36" s="45"/>
      <c r="J36" s="45"/>
      <c r="K36" s="45"/>
      <c r="L36" s="45"/>
      <c r="M36" s="45"/>
    </row>
    <row r="37" customFormat="false" ht="39.75" hidden="false" customHeight="true" outlineLevel="0" collapsed="false">
      <c r="A37" s="46" t="str">
        <f aca="false">IF($A$76="","",$A$76)</f>
        <v>Project 1</v>
      </c>
      <c r="B37" s="45"/>
      <c r="C37" s="45"/>
      <c r="D37" s="45"/>
      <c r="E37" s="45"/>
      <c r="F37" s="45"/>
      <c r="G37" s="45"/>
      <c r="H37" s="45"/>
      <c r="I37" s="45"/>
      <c r="J37" s="45"/>
      <c r="K37" s="45"/>
      <c r="L37" s="45"/>
      <c r="M37" s="45"/>
    </row>
    <row r="38" customFormat="false" ht="39.75" hidden="false" customHeight="true" outlineLevel="0" collapsed="false">
      <c r="A38" s="46" t="str">
        <f aca="false">IF($A$77="","",$A$77)</f>
        <v>Project 2</v>
      </c>
      <c r="B38" s="45"/>
      <c r="C38" s="45"/>
      <c r="D38" s="45"/>
      <c r="E38" s="45"/>
      <c r="F38" s="45"/>
      <c r="G38" s="45"/>
      <c r="H38" s="45"/>
      <c r="I38" s="45"/>
      <c r="J38" s="45"/>
      <c r="K38" s="45"/>
      <c r="L38" s="45"/>
      <c r="M38" s="45"/>
    </row>
    <row r="39" customFormat="false" ht="39.75" hidden="false" customHeight="true" outlineLevel="0" collapsed="false">
      <c r="A39" s="46" t="str">
        <f aca="false">IF($A$78="","",$A$78)</f>
        <v>Project 3</v>
      </c>
      <c r="B39" s="45"/>
      <c r="C39" s="45"/>
      <c r="D39" s="45"/>
      <c r="E39" s="45"/>
      <c r="F39" s="45"/>
      <c r="G39" s="45"/>
      <c r="H39" s="45"/>
      <c r="I39" s="45"/>
      <c r="J39" s="45"/>
      <c r="K39" s="45"/>
      <c r="L39" s="45"/>
      <c r="M39" s="45"/>
    </row>
    <row r="40" customFormat="false" ht="39.75" hidden="false" customHeight="true" outlineLevel="0" collapsed="false">
      <c r="A40" s="46" t="str">
        <f aca="false">IF($A$79="","",$A$79)</f>
        <v>Project 4</v>
      </c>
      <c r="B40" s="45"/>
      <c r="C40" s="45"/>
      <c r="D40" s="45"/>
      <c r="E40" s="45"/>
      <c r="F40" s="45"/>
      <c r="G40" s="45"/>
      <c r="H40" s="45"/>
      <c r="I40" s="45"/>
      <c r="J40" s="45"/>
      <c r="K40" s="45"/>
      <c r="L40" s="45"/>
      <c r="M40" s="45"/>
    </row>
    <row r="41" customFormat="false" ht="39.75" hidden="false" customHeight="true" outlineLevel="0" collapsed="false">
      <c r="A41" s="46" t="str">
        <f aca="false">IF($A$80="","",$A$80)</f>
        <v>Project 5</v>
      </c>
      <c r="B41" s="45"/>
      <c r="C41" s="45"/>
      <c r="D41" s="45"/>
      <c r="E41" s="45"/>
      <c r="F41" s="45"/>
      <c r="G41" s="45"/>
      <c r="H41" s="45"/>
      <c r="I41" s="45"/>
      <c r="J41" s="45"/>
      <c r="K41" s="45"/>
      <c r="L41" s="45"/>
      <c r="M41" s="45"/>
    </row>
    <row r="42" customFormat="false" ht="39.75" hidden="false" customHeight="true" outlineLevel="0" collapsed="false">
      <c r="A42" s="46" t="str">
        <f aca="false">IF($A$81="","",$A$81)</f>
        <v>Project 6</v>
      </c>
      <c r="B42" s="45"/>
      <c r="C42" s="45"/>
      <c r="D42" s="45"/>
      <c r="E42" s="45"/>
      <c r="F42" s="45"/>
      <c r="G42" s="45"/>
      <c r="H42" s="45"/>
      <c r="I42" s="45"/>
      <c r="J42" s="45"/>
      <c r="K42" s="45"/>
      <c r="L42" s="45"/>
      <c r="M42" s="45"/>
    </row>
    <row r="43" customFormat="false" ht="39.75" hidden="false" customHeight="true" outlineLevel="0" collapsed="false">
      <c r="A43" s="46" t="str">
        <f aca="false">IF($A$82="","",$A$82)</f>
        <v/>
      </c>
      <c r="B43" s="45"/>
      <c r="C43" s="45"/>
      <c r="D43" s="45"/>
      <c r="E43" s="45"/>
      <c r="F43" s="45"/>
      <c r="G43" s="45"/>
      <c r="H43" s="45"/>
      <c r="I43" s="45"/>
      <c r="J43" s="45"/>
      <c r="K43" s="45"/>
      <c r="L43" s="45"/>
      <c r="M43" s="45"/>
    </row>
    <row r="44" customFormat="false" ht="39.75" hidden="false" customHeight="true" outlineLevel="0" collapsed="false">
      <c r="A44" s="46" t="str">
        <f aca="false">IF($A$83="","",$A$83)</f>
        <v/>
      </c>
      <c r="B44" s="45"/>
      <c r="C44" s="45"/>
      <c r="D44" s="45"/>
      <c r="E44" s="45"/>
      <c r="F44" s="45"/>
      <c r="G44" s="45"/>
      <c r="H44" s="45"/>
      <c r="I44" s="45"/>
      <c r="J44" s="45"/>
      <c r="K44" s="45"/>
      <c r="L44" s="45"/>
      <c r="M44" s="45"/>
    </row>
    <row r="46" customFormat="false" ht="21.75" hidden="false" customHeight="true" outlineLevel="0" collapsed="false">
      <c r="A46" s="3" t="str">
        <f aca="false">"Project performance – current period ("&amp;CurLbl&amp;") – calculated"</f>
        <v>Project performance – current period (P7) – calculated</v>
      </c>
      <c r="B46" s="4"/>
      <c r="C46" s="4"/>
      <c r="D46" s="4"/>
      <c r="E46" s="4"/>
      <c r="F46" s="4"/>
      <c r="G46" s="4"/>
      <c r="H46" s="4"/>
      <c r="I46" s="4"/>
      <c r="J46" s="4"/>
      <c r="K46" s="4"/>
      <c r="L46" s="4"/>
      <c r="M46" s="4"/>
    </row>
    <row r="47" customFormat="false" ht="15" hidden="false" customHeight="false" outlineLevel="0" collapsed="false">
      <c r="A47" s="34" t="s">
        <v>55</v>
      </c>
      <c r="B47" s="35"/>
      <c r="C47" s="35"/>
      <c r="D47" s="35"/>
      <c r="E47" s="35"/>
      <c r="F47" s="35"/>
      <c r="G47" s="35"/>
      <c r="H47" s="35"/>
      <c r="I47" s="35"/>
      <c r="J47" s="35"/>
      <c r="K47" s="35"/>
      <c r="L47" s="35"/>
      <c r="M47" s="35"/>
    </row>
    <row r="48" customFormat="false" ht="30" hidden="false" customHeight="true" outlineLevel="0" collapsed="false">
      <c r="A48" s="36" t="s">
        <v>25</v>
      </c>
      <c r="B48" s="14" t="s">
        <v>42</v>
      </c>
      <c r="C48" s="14"/>
      <c r="D48" s="14" t="s">
        <v>43</v>
      </c>
      <c r="E48" s="14"/>
      <c r="F48" s="14" t="s">
        <v>44</v>
      </c>
      <c r="G48" s="14"/>
      <c r="H48" s="14" t="s">
        <v>45</v>
      </c>
      <c r="I48" s="14"/>
      <c r="J48" s="14" t="s">
        <v>46</v>
      </c>
      <c r="K48" s="14"/>
      <c r="L48" s="14" t="s">
        <v>47</v>
      </c>
      <c r="M48" s="14"/>
    </row>
    <row r="49" customFormat="false" ht="15" hidden="false" customHeight="false" outlineLevel="0" collapsed="false">
      <c r="A49" s="49" t="str">
        <f aca="false">IF($A$76="","",$A$76)</f>
        <v>Project 1</v>
      </c>
      <c r="B49" s="38" t="str">
        <f aca="false">IF($A49="","",IF(N(C76)=0,"N/A",N(B76)/C76))</f>
        <v>N/A</v>
      </c>
      <c r="C49" s="39" t="str">
        <f aca="false">IF(OR($A49="",N(C76)=0),"",N(B76)&amp;"/"&amp;C76)</f>
        <v/>
      </c>
      <c r="D49" s="38" t="str">
        <f aca="false">IF($A49="","",IF(N(E76)=0,"N/A",N(D76)/E76))</f>
        <v>N/A</v>
      </c>
      <c r="E49" s="39" t="str">
        <f aca="false">IF(OR($A49="",N(E76)=0),"",N(D76)&amp;"/"&amp;E76)</f>
        <v/>
      </c>
      <c r="F49" s="38" t="str">
        <f aca="false">IF($A49="","",IF(N(G76)=0,"N/A",N(F76)/G76))</f>
        <v>N/A</v>
      </c>
      <c r="G49" s="39" t="str">
        <f aca="false">IF(OR($A49="",N(G76)=0),"",N(F76)&amp;"/"&amp;G76)</f>
        <v/>
      </c>
      <c r="H49" s="38" t="str">
        <f aca="false">IF($A49="","",IF(N(I76)=0,"N/A",N(H76)/I76))</f>
        <v>N/A</v>
      </c>
      <c r="I49" s="39" t="str">
        <f aca="false">IF(OR($A49="",N(I76)=0),"",N(H76)&amp;"/"&amp;I76)</f>
        <v/>
      </c>
      <c r="J49" s="38" t="str">
        <f aca="false">IF($A49="","",IF(N(K76)=0,"N/A",N(J76)/K76))</f>
        <v>N/A</v>
      </c>
      <c r="K49" s="39" t="str">
        <f aca="false">IF(OR($A49="",N(K76)=0),"",N(J76)&amp;"/"&amp;K76)</f>
        <v/>
      </c>
      <c r="L49" s="38" t="str">
        <f aca="false">IF($A49="","",IF(N(M76)=0,"N/A",N(L76)/M76))</f>
        <v>N/A</v>
      </c>
      <c r="M49" s="39" t="str">
        <f aca="false">IF(OR($A49="",N(M76)=0),"",N(L76)&amp;"/"&amp;M76)</f>
        <v/>
      </c>
    </row>
    <row r="50" customFormat="false" ht="15" hidden="false" customHeight="false" outlineLevel="0" collapsed="false">
      <c r="A50" s="49" t="str">
        <f aca="false">IF($A$77="","",$A$77)</f>
        <v>Project 2</v>
      </c>
      <c r="B50" s="38" t="str">
        <f aca="false">IF($A50="","",IF(N(C77)=0,"N/A",N(B77)/C77))</f>
        <v>N/A</v>
      </c>
      <c r="C50" s="39" t="str">
        <f aca="false">IF(OR($A50="",N(C77)=0),"",N(B77)&amp;"/"&amp;C77)</f>
        <v/>
      </c>
      <c r="D50" s="38" t="str">
        <f aca="false">IF($A50="","",IF(N(E77)=0,"N/A",N(D77)/E77))</f>
        <v>N/A</v>
      </c>
      <c r="E50" s="39" t="str">
        <f aca="false">IF(OR($A50="",N(E77)=0),"",N(D77)&amp;"/"&amp;E77)</f>
        <v/>
      </c>
      <c r="F50" s="38" t="str">
        <f aca="false">IF($A50="","",IF(N(G77)=0,"N/A",N(F77)/G77))</f>
        <v>N/A</v>
      </c>
      <c r="G50" s="39" t="str">
        <f aca="false">IF(OR($A50="",N(G77)=0),"",N(F77)&amp;"/"&amp;G77)</f>
        <v/>
      </c>
      <c r="H50" s="38" t="str">
        <f aca="false">IF($A50="","",IF(N(I77)=0,"N/A",N(H77)/I77))</f>
        <v>N/A</v>
      </c>
      <c r="I50" s="39" t="str">
        <f aca="false">IF(OR($A50="",N(I77)=0),"",N(H77)&amp;"/"&amp;I77)</f>
        <v/>
      </c>
      <c r="J50" s="38" t="str">
        <f aca="false">IF($A50="","",IF(N(K77)=0,"N/A",N(J77)/K77))</f>
        <v>N/A</v>
      </c>
      <c r="K50" s="39" t="str">
        <f aca="false">IF(OR($A50="",N(K77)=0),"",N(J77)&amp;"/"&amp;K77)</f>
        <v/>
      </c>
      <c r="L50" s="38" t="str">
        <f aca="false">IF($A50="","",IF(N(M77)=0,"N/A",N(L77)/M77))</f>
        <v>N/A</v>
      </c>
      <c r="M50" s="39" t="str">
        <f aca="false">IF(OR($A50="",N(M77)=0),"",N(L77)&amp;"/"&amp;M77)</f>
        <v/>
      </c>
    </row>
    <row r="51" customFormat="false" ht="15" hidden="false" customHeight="false" outlineLevel="0" collapsed="false">
      <c r="A51" s="49" t="str">
        <f aca="false">IF($A$78="","",$A$78)</f>
        <v>Project 3</v>
      </c>
      <c r="B51" s="38" t="str">
        <f aca="false">IF($A51="","",IF(N(C78)=0,"N/A",N(B78)/C78))</f>
        <v>N/A</v>
      </c>
      <c r="C51" s="39" t="str">
        <f aca="false">IF(OR($A51="",N(C78)=0),"",N(B78)&amp;"/"&amp;C78)</f>
        <v/>
      </c>
      <c r="D51" s="38" t="str">
        <f aca="false">IF($A51="","",IF(N(E78)=0,"N/A",N(D78)/E78))</f>
        <v>N/A</v>
      </c>
      <c r="E51" s="39" t="str">
        <f aca="false">IF(OR($A51="",N(E78)=0),"",N(D78)&amp;"/"&amp;E78)</f>
        <v/>
      </c>
      <c r="F51" s="38" t="str">
        <f aca="false">IF($A51="","",IF(N(G78)=0,"N/A",N(F78)/G78))</f>
        <v>N/A</v>
      </c>
      <c r="G51" s="39" t="str">
        <f aca="false">IF(OR($A51="",N(G78)=0),"",N(F78)&amp;"/"&amp;G78)</f>
        <v/>
      </c>
      <c r="H51" s="38" t="str">
        <f aca="false">IF($A51="","",IF(N(I78)=0,"N/A",N(H78)/I78))</f>
        <v>N/A</v>
      </c>
      <c r="I51" s="39" t="str">
        <f aca="false">IF(OR($A51="",N(I78)=0),"",N(H78)&amp;"/"&amp;I78)</f>
        <v/>
      </c>
      <c r="J51" s="38" t="str">
        <f aca="false">IF($A51="","",IF(N(K78)=0,"N/A",N(J78)/K78))</f>
        <v>N/A</v>
      </c>
      <c r="K51" s="39" t="str">
        <f aca="false">IF(OR($A51="",N(K78)=0),"",N(J78)&amp;"/"&amp;K78)</f>
        <v/>
      </c>
      <c r="L51" s="38" t="str">
        <f aca="false">IF($A51="","",IF(N(M78)=0,"N/A",N(L78)/M78))</f>
        <v>N/A</v>
      </c>
      <c r="M51" s="39" t="str">
        <f aca="false">IF(OR($A51="",N(M78)=0),"",N(L78)&amp;"/"&amp;M78)</f>
        <v/>
      </c>
    </row>
    <row r="52" customFormat="false" ht="15" hidden="false" customHeight="false" outlineLevel="0" collapsed="false">
      <c r="A52" s="49" t="str">
        <f aca="false">IF($A$79="","",$A$79)</f>
        <v>Project 4</v>
      </c>
      <c r="B52" s="38" t="str">
        <f aca="false">IF($A52="","",IF(N(C79)=0,"N/A",N(B79)/C79))</f>
        <v>N/A</v>
      </c>
      <c r="C52" s="39" t="str">
        <f aca="false">IF(OR($A52="",N(C79)=0),"",N(B79)&amp;"/"&amp;C79)</f>
        <v/>
      </c>
      <c r="D52" s="38" t="str">
        <f aca="false">IF($A52="","",IF(N(E79)=0,"N/A",N(D79)/E79))</f>
        <v>N/A</v>
      </c>
      <c r="E52" s="39" t="str">
        <f aca="false">IF(OR($A52="",N(E79)=0),"",N(D79)&amp;"/"&amp;E79)</f>
        <v/>
      </c>
      <c r="F52" s="38" t="str">
        <f aca="false">IF($A52="","",IF(N(G79)=0,"N/A",N(F79)/G79))</f>
        <v>N/A</v>
      </c>
      <c r="G52" s="39" t="str">
        <f aca="false">IF(OR($A52="",N(G79)=0),"",N(F79)&amp;"/"&amp;G79)</f>
        <v/>
      </c>
      <c r="H52" s="38" t="str">
        <f aca="false">IF($A52="","",IF(N(I79)=0,"N/A",N(H79)/I79))</f>
        <v>N/A</v>
      </c>
      <c r="I52" s="39" t="str">
        <f aca="false">IF(OR($A52="",N(I79)=0),"",N(H79)&amp;"/"&amp;I79)</f>
        <v/>
      </c>
      <c r="J52" s="38" t="str">
        <f aca="false">IF($A52="","",IF(N(K79)=0,"N/A",N(J79)/K79))</f>
        <v>N/A</v>
      </c>
      <c r="K52" s="39" t="str">
        <f aca="false">IF(OR($A52="",N(K79)=0),"",N(J79)&amp;"/"&amp;K79)</f>
        <v/>
      </c>
      <c r="L52" s="38" t="str">
        <f aca="false">IF($A52="","",IF(N(M79)=0,"N/A",N(L79)/M79))</f>
        <v>N/A</v>
      </c>
      <c r="M52" s="39" t="str">
        <f aca="false">IF(OR($A52="",N(M79)=0),"",N(L79)&amp;"/"&amp;M79)</f>
        <v/>
      </c>
    </row>
    <row r="53" customFormat="false" ht="15" hidden="false" customHeight="false" outlineLevel="0" collapsed="false">
      <c r="A53" s="49" t="str">
        <f aca="false">IF($A$80="","",$A$80)</f>
        <v>Project 5</v>
      </c>
      <c r="B53" s="38" t="str">
        <f aca="false">IF($A53="","",IF(N(C80)=0,"N/A",N(B80)/C80))</f>
        <v>N/A</v>
      </c>
      <c r="C53" s="39" t="str">
        <f aca="false">IF(OR($A53="",N(C80)=0),"",N(B80)&amp;"/"&amp;C80)</f>
        <v/>
      </c>
      <c r="D53" s="38" t="str">
        <f aca="false">IF($A53="","",IF(N(E80)=0,"N/A",N(D80)/E80))</f>
        <v>N/A</v>
      </c>
      <c r="E53" s="39" t="str">
        <f aca="false">IF(OR($A53="",N(E80)=0),"",N(D80)&amp;"/"&amp;E80)</f>
        <v/>
      </c>
      <c r="F53" s="38" t="str">
        <f aca="false">IF($A53="","",IF(N(G80)=0,"N/A",N(F80)/G80))</f>
        <v>N/A</v>
      </c>
      <c r="G53" s="39" t="str">
        <f aca="false">IF(OR($A53="",N(G80)=0),"",N(F80)&amp;"/"&amp;G80)</f>
        <v/>
      </c>
      <c r="H53" s="38" t="str">
        <f aca="false">IF($A53="","",IF(N(I80)=0,"N/A",N(H80)/I80))</f>
        <v>N/A</v>
      </c>
      <c r="I53" s="39" t="str">
        <f aca="false">IF(OR($A53="",N(I80)=0),"",N(H80)&amp;"/"&amp;I80)</f>
        <v/>
      </c>
      <c r="J53" s="38" t="str">
        <f aca="false">IF($A53="","",IF(N(K80)=0,"N/A",N(J80)/K80))</f>
        <v>N/A</v>
      </c>
      <c r="K53" s="39" t="str">
        <f aca="false">IF(OR($A53="",N(K80)=0),"",N(J80)&amp;"/"&amp;K80)</f>
        <v/>
      </c>
      <c r="L53" s="38" t="str">
        <f aca="false">IF($A53="","",IF(N(M80)=0,"N/A",N(L80)/M80))</f>
        <v>N/A</v>
      </c>
      <c r="M53" s="39" t="str">
        <f aca="false">IF(OR($A53="",N(M80)=0),"",N(L80)&amp;"/"&amp;M80)</f>
        <v/>
      </c>
    </row>
    <row r="54" customFormat="false" ht="15" hidden="false" customHeight="false" outlineLevel="0" collapsed="false">
      <c r="A54" s="49" t="str">
        <f aca="false">IF($A$81="","",$A$81)</f>
        <v>Project 6</v>
      </c>
      <c r="B54" s="38" t="str">
        <f aca="false">IF($A54="","",IF(N(C81)=0,"N/A",N(B81)/C81))</f>
        <v>N/A</v>
      </c>
      <c r="C54" s="39" t="str">
        <f aca="false">IF(OR($A54="",N(C81)=0),"",N(B81)&amp;"/"&amp;C81)</f>
        <v/>
      </c>
      <c r="D54" s="38" t="str">
        <f aca="false">IF($A54="","",IF(N(E81)=0,"N/A",N(D81)/E81))</f>
        <v>N/A</v>
      </c>
      <c r="E54" s="39" t="str">
        <f aca="false">IF(OR($A54="",N(E81)=0),"",N(D81)&amp;"/"&amp;E81)</f>
        <v/>
      </c>
      <c r="F54" s="38" t="str">
        <f aca="false">IF($A54="","",IF(N(G81)=0,"N/A",N(F81)/G81))</f>
        <v>N/A</v>
      </c>
      <c r="G54" s="39" t="str">
        <f aca="false">IF(OR($A54="",N(G81)=0),"",N(F81)&amp;"/"&amp;G81)</f>
        <v/>
      </c>
      <c r="H54" s="38" t="str">
        <f aca="false">IF($A54="","",IF(N(I81)=0,"N/A",N(H81)/I81))</f>
        <v>N/A</v>
      </c>
      <c r="I54" s="39" t="str">
        <f aca="false">IF(OR($A54="",N(I81)=0),"",N(H81)&amp;"/"&amp;I81)</f>
        <v/>
      </c>
      <c r="J54" s="38" t="str">
        <f aca="false">IF($A54="","",IF(N(K81)=0,"N/A",N(J81)/K81))</f>
        <v>N/A</v>
      </c>
      <c r="K54" s="39" t="str">
        <f aca="false">IF(OR($A54="",N(K81)=0),"",N(J81)&amp;"/"&amp;K81)</f>
        <v/>
      </c>
      <c r="L54" s="38" t="str">
        <f aca="false">IF($A54="","",IF(N(M81)=0,"N/A",N(L81)/M81))</f>
        <v>N/A</v>
      </c>
      <c r="M54" s="39" t="str">
        <f aca="false">IF(OR($A54="",N(M81)=0),"",N(L81)&amp;"/"&amp;M81)</f>
        <v/>
      </c>
    </row>
    <row r="55" customFormat="false" ht="15" hidden="false" customHeight="false" outlineLevel="0" collapsed="false">
      <c r="A55" s="49" t="str">
        <f aca="false">IF($A$82="","",$A$82)</f>
        <v/>
      </c>
      <c r="B55" s="38" t="str">
        <f aca="false">IF($A55="","",IF(N(C82)=0,"N/A",N(B82)/C82))</f>
        <v/>
      </c>
      <c r="C55" s="39" t="str">
        <f aca="false">IF(OR($A55="",N(C82)=0),"",N(B82)&amp;"/"&amp;C82)</f>
        <v/>
      </c>
      <c r="D55" s="38" t="str">
        <f aca="false">IF($A55="","",IF(N(E82)=0,"N/A",N(D82)/E82))</f>
        <v/>
      </c>
      <c r="E55" s="39" t="str">
        <f aca="false">IF(OR($A55="",N(E82)=0),"",N(D82)&amp;"/"&amp;E82)</f>
        <v/>
      </c>
      <c r="F55" s="38" t="str">
        <f aca="false">IF($A55="","",IF(N(G82)=0,"N/A",N(F82)/G82))</f>
        <v/>
      </c>
      <c r="G55" s="39" t="str">
        <f aca="false">IF(OR($A55="",N(G82)=0),"",N(F82)&amp;"/"&amp;G82)</f>
        <v/>
      </c>
      <c r="H55" s="38" t="str">
        <f aca="false">IF($A55="","",IF(N(I82)=0,"N/A",N(H82)/I82))</f>
        <v/>
      </c>
      <c r="I55" s="39" t="str">
        <f aca="false">IF(OR($A55="",N(I82)=0),"",N(H82)&amp;"/"&amp;I82)</f>
        <v/>
      </c>
      <c r="J55" s="38" t="str">
        <f aca="false">IF($A55="","",IF(N(K82)=0,"N/A",N(J82)/K82))</f>
        <v/>
      </c>
      <c r="K55" s="39" t="str">
        <f aca="false">IF(OR($A55="",N(K82)=0),"",N(J82)&amp;"/"&amp;K82)</f>
        <v/>
      </c>
      <c r="L55" s="38" t="str">
        <f aca="false">IF($A55="","",IF(N(M82)=0,"N/A",N(L82)/M82))</f>
        <v/>
      </c>
      <c r="M55" s="39" t="str">
        <f aca="false">IF(OR($A55="",N(M82)=0),"",N(L82)&amp;"/"&amp;M82)</f>
        <v/>
      </c>
    </row>
    <row r="56" customFormat="false" ht="15" hidden="false" customHeight="false" outlineLevel="0" collapsed="false">
      <c r="A56" s="49" t="str">
        <f aca="false">IF($A$83="","",$A$83)</f>
        <v/>
      </c>
      <c r="B56" s="38" t="str">
        <f aca="false">IF($A56="","",IF(N(C83)=0,"N/A",N(B83)/C83))</f>
        <v/>
      </c>
      <c r="C56" s="39" t="str">
        <f aca="false">IF(OR($A56="",N(C83)=0),"",N(B83)&amp;"/"&amp;C83)</f>
        <v/>
      </c>
      <c r="D56" s="38" t="str">
        <f aca="false">IF($A56="","",IF(N(E83)=0,"N/A",N(D83)/E83))</f>
        <v/>
      </c>
      <c r="E56" s="39" t="str">
        <f aca="false">IF(OR($A56="",N(E83)=0),"",N(D83)&amp;"/"&amp;E83)</f>
        <v/>
      </c>
      <c r="F56" s="38" t="str">
        <f aca="false">IF($A56="","",IF(N(G83)=0,"N/A",N(F83)/G83))</f>
        <v/>
      </c>
      <c r="G56" s="39" t="str">
        <f aca="false">IF(OR($A56="",N(G83)=0),"",N(F83)&amp;"/"&amp;G83)</f>
        <v/>
      </c>
      <c r="H56" s="38" t="str">
        <f aca="false">IF($A56="","",IF(N(I83)=0,"N/A",N(H83)/I83))</f>
        <v/>
      </c>
      <c r="I56" s="39" t="str">
        <f aca="false">IF(OR($A56="",N(I83)=0),"",N(H83)&amp;"/"&amp;I83)</f>
        <v/>
      </c>
      <c r="J56" s="38" t="str">
        <f aca="false">IF($A56="","",IF(N(K83)=0,"N/A",N(J83)/K83))</f>
        <v/>
      </c>
      <c r="K56" s="39" t="str">
        <f aca="false">IF(OR($A56="",N(K83)=0),"",N(J83)&amp;"/"&amp;K83)</f>
        <v/>
      </c>
      <c r="L56" s="38" t="str">
        <f aca="false">IF($A56="","",IF(N(M83)=0,"N/A",N(L83)/M83))</f>
        <v/>
      </c>
      <c r="M56" s="39" t="str">
        <f aca="false">IF(OR($A56="",N(M83)=0),"",N(L83)&amp;"/"&amp;M83)</f>
        <v/>
      </c>
    </row>
    <row r="57" customFormat="false" ht="15" hidden="false" customHeight="false" outlineLevel="0" collapsed="false">
      <c r="A57" s="40" t="s">
        <v>113</v>
      </c>
      <c r="B57" s="38" t="str">
        <f aca="false">IF($A57="","",IF(N(C84)=0,"N/A",N(B84)/C84))</f>
        <v>N/A</v>
      </c>
      <c r="C57" s="39" t="str">
        <f aca="false">IF(OR($A57="",N(C84)=0),"",N(B84)&amp;"/"&amp;C84)</f>
        <v/>
      </c>
      <c r="D57" s="38" t="str">
        <f aca="false">IF($A57="","",IF(N(E84)=0,"N/A",N(D84)/E84))</f>
        <v>N/A</v>
      </c>
      <c r="E57" s="39" t="str">
        <f aca="false">IF(OR($A57="",N(E84)=0),"",N(D84)&amp;"/"&amp;E84)</f>
        <v/>
      </c>
      <c r="F57" s="38" t="str">
        <f aca="false">IF($A57="","",IF(N(G84)=0,"N/A",N(F84)/G84))</f>
        <v>N/A</v>
      </c>
      <c r="G57" s="39" t="str">
        <f aca="false">IF(OR($A57="",N(G84)=0),"",N(F84)&amp;"/"&amp;G84)</f>
        <v/>
      </c>
      <c r="H57" s="38" t="str">
        <f aca="false">IF($A57="","",IF(N(I84)=0,"N/A",N(H84)/I84))</f>
        <v>N/A</v>
      </c>
      <c r="I57" s="39" t="str">
        <f aca="false">IF(OR($A57="",N(I84)=0),"",N(H84)&amp;"/"&amp;I84)</f>
        <v/>
      </c>
      <c r="J57" s="38" t="str">
        <f aca="false">IF($A57="","",IF(N(K84)=0,"N/A",N(J84)/K84))</f>
        <v>N/A</v>
      </c>
      <c r="K57" s="39" t="str">
        <f aca="false">IF(OR($A57="",N(K84)=0),"",N(J84)&amp;"/"&amp;K84)</f>
        <v/>
      </c>
      <c r="L57" s="38" t="str">
        <f aca="false">IF($A57="","",IF(N(M84)=0,"N/A",N(L84)/M84))</f>
        <v>N/A</v>
      </c>
      <c r="M57" s="39" t="str">
        <f aca="false">IF(OR($A57="",N(M84)=0),"",N(L84)&amp;"/"&amp;M84)</f>
        <v/>
      </c>
    </row>
    <row r="58" customFormat="false" ht="15" hidden="false" customHeight="false" outlineLevel="0" collapsed="false">
      <c r="A58" s="34" t="s">
        <v>49</v>
      </c>
      <c r="B58" s="35"/>
      <c r="C58" s="35"/>
      <c r="D58" s="35"/>
      <c r="E58" s="35"/>
      <c r="F58" s="35"/>
      <c r="G58" s="35"/>
      <c r="H58" s="35"/>
      <c r="I58" s="35"/>
      <c r="J58" s="35"/>
      <c r="K58" s="35"/>
      <c r="L58" s="35"/>
      <c r="M58" s="35"/>
    </row>
    <row r="59" customFormat="false" ht="30" hidden="false" customHeight="true" outlineLevel="0" collapsed="false">
      <c r="A59" s="36" t="s">
        <v>25</v>
      </c>
      <c r="B59" s="14" t="s">
        <v>50</v>
      </c>
      <c r="C59" s="14"/>
      <c r="D59" s="14" t="s">
        <v>51</v>
      </c>
      <c r="E59" s="14"/>
      <c r="F59" s="14" t="s">
        <v>52</v>
      </c>
      <c r="G59" s="14"/>
      <c r="H59" s="14" t="s">
        <v>53</v>
      </c>
      <c r="I59" s="14"/>
    </row>
    <row r="60" customFormat="false" ht="15" hidden="false" customHeight="false" outlineLevel="0" collapsed="false">
      <c r="A60" s="49" t="str">
        <f aca="false">IF($A$76="","",$A$76)</f>
        <v>Project 1</v>
      </c>
      <c r="B60" s="41" t="str">
        <f aca="false">IF($A60="","",IF(ISNUMBER(B102),B102,"N/A"))</f>
        <v>N/A</v>
      </c>
      <c r="C60" s="41"/>
      <c r="D60" s="38" t="str">
        <f aca="false">IF($A60="","",IF(N(E102)=0,"N/A",N(D102)/E102))</f>
        <v>N/A</v>
      </c>
      <c r="E60" s="39" t="str">
        <f aca="false">IF(OR($A60="",N(E102)=0),"",N(D102)&amp;"/"&amp;E102)</f>
        <v/>
      </c>
      <c r="F60" s="38" t="str">
        <f aca="false">IF($A60="","",IF(N(G102)=0,"N/A",N(F102)/G102))</f>
        <v>N/A</v>
      </c>
      <c r="G60" s="39" t="str">
        <f aca="false">IF(OR($A60="",N(G102)=0),"",N(F102)&amp;"/"&amp;G102)</f>
        <v/>
      </c>
      <c r="H60" s="38" t="str">
        <f aca="false">IF($A60="","",IF(N(I102)=0,"N/A",N(H102)/I102))</f>
        <v>N/A</v>
      </c>
      <c r="I60" s="39" t="str">
        <f aca="false">IF(OR($A60="",N(I102)=0),"",N(H102)&amp;"/"&amp;I102)</f>
        <v/>
      </c>
    </row>
    <row r="61" customFormat="false" ht="15" hidden="false" customHeight="false" outlineLevel="0" collapsed="false">
      <c r="A61" s="49" t="str">
        <f aca="false">IF($A$77="","",$A$77)</f>
        <v>Project 2</v>
      </c>
      <c r="B61" s="41" t="str">
        <f aca="false">IF($A61="","",IF(ISNUMBER(B103),B103,"N/A"))</f>
        <v>N/A</v>
      </c>
      <c r="C61" s="41"/>
      <c r="D61" s="38" t="str">
        <f aca="false">IF($A61="","",IF(N(E103)=0,"N/A",N(D103)/E103))</f>
        <v>N/A</v>
      </c>
      <c r="E61" s="39" t="str">
        <f aca="false">IF(OR($A61="",N(E103)=0),"",N(D103)&amp;"/"&amp;E103)</f>
        <v/>
      </c>
      <c r="F61" s="38" t="str">
        <f aca="false">IF($A61="","",IF(N(G103)=0,"N/A",N(F103)/G103))</f>
        <v>N/A</v>
      </c>
      <c r="G61" s="39" t="str">
        <f aca="false">IF(OR($A61="",N(G103)=0),"",N(F103)&amp;"/"&amp;G103)</f>
        <v/>
      </c>
      <c r="H61" s="38" t="str">
        <f aca="false">IF($A61="","",IF(N(I103)=0,"N/A",N(H103)/I103))</f>
        <v>N/A</v>
      </c>
      <c r="I61" s="39" t="str">
        <f aca="false">IF(OR($A61="",N(I103)=0),"",N(H103)&amp;"/"&amp;I103)</f>
        <v/>
      </c>
    </row>
    <row r="62" customFormat="false" ht="15" hidden="false" customHeight="false" outlineLevel="0" collapsed="false">
      <c r="A62" s="49" t="str">
        <f aca="false">IF($A$78="","",$A$78)</f>
        <v>Project 3</v>
      </c>
      <c r="B62" s="41" t="str">
        <f aca="false">IF($A62="","",IF(ISNUMBER(B104),B104,"N/A"))</f>
        <v>N/A</v>
      </c>
      <c r="C62" s="41"/>
      <c r="D62" s="38" t="str">
        <f aca="false">IF($A62="","",IF(N(E104)=0,"N/A",N(D104)/E104))</f>
        <v>N/A</v>
      </c>
      <c r="E62" s="39" t="str">
        <f aca="false">IF(OR($A62="",N(E104)=0),"",N(D104)&amp;"/"&amp;E104)</f>
        <v/>
      </c>
      <c r="F62" s="38" t="str">
        <f aca="false">IF($A62="","",IF(N(G104)=0,"N/A",N(F104)/G104))</f>
        <v>N/A</v>
      </c>
      <c r="G62" s="39" t="str">
        <f aca="false">IF(OR($A62="",N(G104)=0),"",N(F104)&amp;"/"&amp;G104)</f>
        <v/>
      </c>
      <c r="H62" s="38" t="str">
        <f aca="false">IF($A62="","",IF(N(I104)=0,"N/A",N(H104)/I104))</f>
        <v>N/A</v>
      </c>
      <c r="I62" s="39" t="str">
        <f aca="false">IF(OR($A62="",N(I104)=0),"",N(H104)&amp;"/"&amp;I104)</f>
        <v/>
      </c>
    </row>
    <row r="63" customFormat="false" ht="15" hidden="false" customHeight="false" outlineLevel="0" collapsed="false">
      <c r="A63" s="49" t="str">
        <f aca="false">IF($A$79="","",$A$79)</f>
        <v>Project 4</v>
      </c>
      <c r="B63" s="41" t="str">
        <f aca="false">IF($A63="","",IF(ISNUMBER(B105),B105,"N/A"))</f>
        <v>N/A</v>
      </c>
      <c r="C63" s="41"/>
      <c r="D63" s="38" t="str">
        <f aca="false">IF($A63="","",IF(N(E105)=0,"N/A",N(D105)/E105))</f>
        <v>N/A</v>
      </c>
      <c r="E63" s="39" t="str">
        <f aca="false">IF(OR($A63="",N(E105)=0),"",N(D105)&amp;"/"&amp;E105)</f>
        <v/>
      </c>
      <c r="F63" s="38" t="str">
        <f aca="false">IF($A63="","",IF(N(G105)=0,"N/A",N(F105)/G105))</f>
        <v>N/A</v>
      </c>
      <c r="G63" s="39" t="str">
        <f aca="false">IF(OR($A63="",N(G105)=0),"",N(F105)&amp;"/"&amp;G105)</f>
        <v/>
      </c>
      <c r="H63" s="38" t="str">
        <f aca="false">IF($A63="","",IF(N(I105)=0,"N/A",N(H105)/I105))</f>
        <v>N/A</v>
      </c>
      <c r="I63" s="39" t="str">
        <f aca="false">IF(OR($A63="",N(I105)=0),"",N(H105)&amp;"/"&amp;I105)</f>
        <v/>
      </c>
    </row>
    <row r="64" customFormat="false" ht="15" hidden="false" customHeight="false" outlineLevel="0" collapsed="false">
      <c r="A64" s="49" t="str">
        <f aca="false">IF($A$80="","",$A$80)</f>
        <v>Project 5</v>
      </c>
      <c r="B64" s="41" t="str">
        <f aca="false">IF($A64="","",IF(ISNUMBER(B106),B106,"N/A"))</f>
        <v>N/A</v>
      </c>
      <c r="C64" s="41"/>
      <c r="D64" s="38" t="str">
        <f aca="false">IF($A64="","",IF(N(E106)=0,"N/A",N(D106)/E106))</f>
        <v>N/A</v>
      </c>
      <c r="E64" s="39" t="str">
        <f aca="false">IF(OR($A64="",N(E106)=0),"",N(D106)&amp;"/"&amp;E106)</f>
        <v/>
      </c>
      <c r="F64" s="38" t="str">
        <f aca="false">IF($A64="","",IF(N(G106)=0,"N/A",N(F106)/G106))</f>
        <v>N/A</v>
      </c>
      <c r="G64" s="39" t="str">
        <f aca="false">IF(OR($A64="",N(G106)=0),"",N(F106)&amp;"/"&amp;G106)</f>
        <v/>
      </c>
      <c r="H64" s="38" t="str">
        <f aca="false">IF($A64="","",IF(N(I106)=0,"N/A",N(H106)/I106))</f>
        <v>N/A</v>
      </c>
      <c r="I64" s="39" t="str">
        <f aca="false">IF(OR($A64="",N(I106)=0),"",N(H106)&amp;"/"&amp;I106)</f>
        <v/>
      </c>
    </row>
    <row r="65" customFormat="false" ht="15" hidden="false" customHeight="false" outlineLevel="0" collapsed="false">
      <c r="A65" s="49" t="str">
        <f aca="false">IF($A$81="","",$A$81)</f>
        <v>Project 6</v>
      </c>
      <c r="B65" s="41" t="str">
        <f aca="false">IF($A65="","",IF(ISNUMBER(B107),B107,"N/A"))</f>
        <v>N/A</v>
      </c>
      <c r="C65" s="41"/>
      <c r="D65" s="38" t="str">
        <f aca="false">IF($A65="","",IF(N(E107)=0,"N/A",N(D107)/E107))</f>
        <v>N/A</v>
      </c>
      <c r="E65" s="39" t="str">
        <f aca="false">IF(OR($A65="",N(E107)=0),"",N(D107)&amp;"/"&amp;E107)</f>
        <v/>
      </c>
      <c r="F65" s="38" t="str">
        <f aca="false">IF($A65="","",IF(N(G107)=0,"N/A",N(F107)/G107))</f>
        <v>N/A</v>
      </c>
      <c r="G65" s="39" t="str">
        <f aca="false">IF(OR($A65="",N(G107)=0),"",N(F107)&amp;"/"&amp;G107)</f>
        <v/>
      </c>
      <c r="H65" s="38" t="str">
        <f aca="false">IF($A65="","",IF(N(I107)=0,"N/A",N(H107)/I107))</f>
        <v>N/A</v>
      </c>
      <c r="I65" s="39" t="str">
        <f aca="false">IF(OR($A65="",N(I107)=0),"",N(H107)&amp;"/"&amp;I107)</f>
        <v/>
      </c>
    </row>
    <row r="66" customFormat="false" ht="15" hidden="false" customHeight="false" outlineLevel="0" collapsed="false">
      <c r="A66" s="49" t="str">
        <f aca="false">IF($A$82="","",$A$82)</f>
        <v/>
      </c>
      <c r="B66" s="41" t="str">
        <f aca="false">IF($A66="","",IF(ISNUMBER(B108),B108,"N/A"))</f>
        <v/>
      </c>
      <c r="C66" s="41"/>
      <c r="D66" s="38" t="str">
        <f aca="false">IF($A66="","",IF(N(E108)=0,"N/A",N(D108)/E108))</f>
        <v/>
      </c>
      <c r="E66" s="39" t="str">
        <f aca="false">IF(OR($A66="",N(E108)=0),"",N(D108)&amp;"/"&amp;E108)</f>
        <v/>
      </c>
      <c r="F66" s="38" t="str">
        <f aca="false">IF($A66="","",IF(N(G108)=0,"N/A",N(F108)/G108))</f>
        <v/>
      </c>
      <c r="G66" s="39" t="str">
        <f aca="false">IF(OR($A66="",N(G108)=0),"",N(F108)&amp;"/"&amp;G108)</f>
        <v/>
      </c>
      <c r="H66" s="38" t="str">
        <f aca="false">IF($A66="","",IF(N(I108)=0,"N/A",N(H108)/I108))</f>
        <v/>
      </c>
      <c r="I66" s="39" t="str">
        <f aca="false">IF(OR($A66="",N(I108)=0),"",N(H108)&amp;"/"&amp;I108)</f>
        <v/>
      </c>
    </row>
    <row r="67" customFormat="false" ht="15" hidden="false" customHeight="false" outlineLevel="0" collapsed="false">
      <c r="A67" s="49" t="str">
        <f aca="false">IF($A$83="","",$A$83)</f>
        <v/>
      </c>
      <c r="B67" s="41" t="str">
        <f aca="false">IF($A67="","",IF(ISNUMBER(B109),B109,"N/A"))</f>
        <v/>
      </c>
      <c r="C67" s="41"/>
      <c r="D67" s="38" t="str">
        <f aca="false">IF($A67="","",IF(N(E109)=0,"N/A",N(D109)/E109))</f>
        <v/>
      </c>
      <c r="E67" s="39" t="str">
        <f aca="false">IF(OR($A67="",N(E109)=0),"",N(D109)&amp;"/"&amp;E109)</f>
        <v/>
      </c>
      <c r="F67" s="38" t="str">
        <f aca="false">IF($A67="","",IF(N(G109)=0,"N/A",N(F109)/G109))</f>
        <v/>
      </c>
      <c r="G67" s="39" t="str">
        <f aca="false">IF(OR($A67="",N(G109)=0),"",N(F109)&amp;"/"&amp;G109)</f>
        <v/>
      </c>
      <c r="H67" s="38" t="str">
        <f aca="false">IF($A67="","",IF(N(I109)=0,"N/A",N(H109)/I109))</f>
        <v/>
      </c>
      <c r="I67" s="39" t="str">
        <f aca="false">IF(OR($A67="",N(I109)=0),"",N(H109)&amp;"/"&amp;I109)</f>
        <v/>
      </c>
    </row>
    <row r="68" customFormat="false" ht="15" hidden="false" customHeight="false" outlineLevel="0" collapsed="false">
      <c r="A68" s="40" t="s">
        <v>113</v>
      </c>
      <c r="B68" s="41" t="str">
        <f aca="false">IF($A68="","",IF(ISNUMBER(B110),B110,"N/A"))</f>
        <v>N/A</v>
      </c>
      <c r="C68" s="41"/>
      <c r="D68" s="38" t="str">
        <f aca="false">IF($A68="","",IF(N(E110)=0,"N/A",N(D110)/E110))</f>
        <v>N/A</v>
      </c>
      <c r="E68" s="39" t="str">
        <f aca="false">IF(OR($A68="",N(E110)=0),"",N(D110)&amp;"/"&amp;E110)</f>
        <v/>
      </c>
      <c r="F68" s="38" t="str">
        <f aca="false">IF($A68="","",IF(N(G110)=0,"N/A",N(F110)/G110))</f>
        <v>N/A</v>
      </c>
      <c r="G68" s="39" t="str">
        <f aca="false">IF(OR($A68="",N(G110)=0),"",N(F110)&amp;"/"&amp;G110)</f>
        <v/>
      </c>
      <c r="H68" s="38" t="str">
        <f aca="false">IF($A68="","",IF(N(I110)=0,"N/A",N(H110)/I110))</f>
        <v>N/A</v>
      </c>
      <c r="I68" s="39" t="str">
        <f aca="false">IF(OR($A68="",N(I110)=0),"",N(H110)&amp;"/"&amp;I110)</f>
        <v/>
      </c>
    </row>
    <row r="70" customFormat="false" ht="21.75" hidden="false" customHeight="true" outlineLevel="0" collapsed="false">
      <c r="A70" s="3" t="s">
        <v>93</v>
      </c>
      <c r="B70" s="4"/>
      <c r="C70" s="4"/>
      <c r="D70" s="4"/>
      <c r="E70" s="4"/>
      <c r="F70" s="4"/>
      <c r="G70" s="4"/>
      <c r="H70" s="4"/>
      <c r="I70" s="4"/>
      <c r="J70" s="4"/>
      <c r="K70" s="4"/>
      <c r="L70" s="4"/>
      <c r="M70" s="4"/>
    </row>
    <row r="71" customFormat="false" ht="25.5" hidden="false" customHeight="true" outlineLevel="0" collapsed="false">
      <c r="A71" s="16" t="s">
        <v>94</v>
      </c>
      <c r="B71" s="16"/>
      <c r="C71" s="16"/>
      <c r="D71" s="16"/>
      <c r="E71" s="16"/>
      <c r="F71" s="16"/>
      <c r="G71" s="16"/>
      <c r="H71" s="16"/>
      <c r="I71" s="16"/>
      <c r="J71" s="16"/>
      <c r="K71" s="16"/>
      <c r="L71" s="16"/>
      <c r="M71" s="16"/>
    </row>
    <row r="73" customFormat="false" ht="15" hidden="false" customHeight="false" outlineLevel="0" collapsed="false">
      <c r="A73" s="34" t="str">
        <f aca="false">"PowerBI data – current period ("&amp;CurLbl&amp;")"</f>
        <v>PowerBI data – current period (P7)</v>
      </c>
      <c r="B73" s="35"/>
      <c r="C73" s="35"/>
      <c r="D73" s="35"/>
      <c r="E73" s="35"/>
      <c r="F73" s="35"/>
      <c r="G73" s="35"/>
      <c r="H73" s="35"/>
      <c r="I73" s="35"/>
      <c r="J73" s="35"/>
      <c r="K73" s="35"/>
      <c r="L73" s="35"/>
      <c r="M73" s="35"/>
    </row>
    <row r="74" customFormat="false" ht="30" hidden="false" customHeight="true" outlineLevel="0" collapsed="false">
      <c r="A74" s="36" t="s">
        <v>25</v>
      </c>
      <c r="B74" s="14" t="s">
        <v>42</v>
      </c>
      <c r="C74" s="14"/>
      <c r="D74" s="14" t="s">
        <v>43</v>
      </c>
      <c r="E74" s="14"/>
      <c r="F74" s="14" t="s">
        <v>44</v>
      </c>
      <c r="G74" s="14"/>
      <c r="H74" s="14" t="s">
        <v>45</v>
      </c>
      <c r="I74" s="14"/>
      <c r="J74" s="14" t="s">
        <v>46</v>
      </c>
      <c r="K74" s="14"/>
      <c r="L74" s="14" t="s">
        <v>47</v>
      </c>
      <c r="M74" s="14"/>
    </row>
    <row r="75" customFormat="false" ht="15" hidden="false" customHeight="false" outlineLevel="0" collapsed="false">
      <c r="A75" s="36"/>
      <c r="B75" s="48" t="s">
        <v>81</v>
      </c>
      <c r="C75" s="48" t="s">
        <v>82</v>
      </c>
      <c r="D75" s="48" t="s">
        <v>81</v>
      </c>
      <c r="E75" s="48" t="s">
        <v>82</v>
      </c>
      <c r="F75" s="48" t="s">
        <v>81</v>
      </c>
      <c r="G75" s="48" t="s">
        <v>82</v>
      </c>
      <c r="H75" s="48" t="s">
        <v>81</v>
      </c>
      <c r="I75" s="48" t="s">
        <v>82</v>
      </c>
      <c r="J75" s="48" t="s">
        <v>81</v>
      </c>
      <c r="K75" s="48" t="s">
        <v>82</v>
      </c>
      <c r="L75" s="48" t="s">
        <v>81</v>
      </c>
      <c r="M75" s="48" t="s">
        <v>82</v>
      </c>
    </row>
    <row r="76" customFormat="false" ht="15" hidden="false" customHeight="false" outlineLevel="0" collapsed="false">
      <c r="A76" s="53" t="s">
        <v>104</v>
      </c>
      <c r="B76" s="54"/>
      <c r="C76" s="54"/>
      <c r="D76" s="54"/>
      <c r="E76" s="54"/>
      <c r="F76" s="54"/>
      <c r="G76" s="54"/>
      <c r="H76" s="54"/>
      <c r="I76" s="54"/>
      <c r="J76" s="54"/>
      <c r="K76" s="54"/>
      <c r="L76" s="54"/>
      <c r="M76" s="54"/>
    </row>
    <row r="77" customFormat="false" ht="15" hidden="false" customHeight="false" outlineLevel="0" collapsed="false">
      <c r="A77" s="53" t="s">
        <v>105</v>
      </c>
      <c r="B77" s="54"/>
      <c r="C77" s="54"/>
      <c r="D77" s="54"/>
      <c r="E77" s="54"/>
      <c r="F77" s="54"/>
      <c r="G77" s="54"/>
      <c r="H77" s="54"/>
      <c r="I77" s="54"/>
      <c r="J77" s="54"/>
      <c r="K77" s="54"/>
      <c r="L77" s="54"/>
      <c r="M77" s="54"/>
    </row>
    <row r="78" customFormat="false" ht="15" hidden="false" customHeight="false" outlineLevel="0" collapsed="false">
      <c r="A78" s="53" t="s">
        <v>106</v>
      </c>
      <c r="B78" s="54"/>
      <c r="C78" s="54"/>
      <c r="D78" s="54"/>
      <c r="E78" s="54"/>
      <c r="F78" s="54"/>
      <c r="G78" s="54"/>
      <c r="H78" s="54"/>
      <c r="I78" s="54"/>
      <c r="J78" s="54"/>
      <c r="K78" s="54"/>
      <c r="L78" s="54"/>
      <c r="M78" s="54"/>
    </row>
    <row r="79" customFormat="false" ht="15" hidden="false" customHeight="false" outlineLevel="0" collapsed="false">
      <c r="A79" s="53" t="s">
        <v>107</v>
      </c>
      <c r="B79" s="54"/>
      <c r="C79" s="54"/>
      <c r="D79" s="54"/>
      <c r="E79" s="54"/>
      <c r="F79" s="54"/>
      <c r="G79" s="54"/>
      <c r="H79" s="54"/>
      <c r="I79" s="54"/>
      <c r="J79" s="54"/>
      <c r="K79" s="54"/>
      <c r="L79" s="54"/>
      <c r="M79" s="54"/>
    </row>
    <row r="80" customFormat="false" ht="15" hidden="false" customHeight="false" outlineLevel="0" collapsed="false">
      <c r="A80" s="53" t="s">
        <v>108</v>
      </c>
      <c r="B80" s="54"/>
      <c r="C80" s="54"/>
      <c r="D80" s="54"/>
      <c r="E80" s="54"/>
      <c r="F80" s="54"/>
      <c r="G80" s="54"/>
      <c r="H80" s="54"/>
      <c r="I80" s="54"/>
      <c r="J80" s="54"/>
      <c r="K80" s="54"/>
      <c r="L80" s="54"/>
      <c r="M80" s="54"/>
    </row>
    <row r="81" customFormat="false" ht="15" hidden="false" customHeight="false" outlineLevel="0" collapsed="false">
      <c r="A81" s="53" t="s">
        <v>109</v>
      </c>
      <c r="B81" s="54"/>
      <c r="C81" s="54"/>
      <c r="D81" s="54"/>
      <c r="E81" s="54"/>
      <c r="F81" s="54"/>
      <c r="G81" s="54"/>
      <c r="H81" s="54"/>
      <c r="I81" s="54"/>
      <c r="J81" s="54"/>
      <c r="K81" s="54"/>
      <c r="L81" s="54"/>
      <c r="M81" s="54"/>
    </row>
    <row r="82" customFormat="false" ht="15" hidden="false" customHeight="false" outlineLevel="0" collapsed="false">
      <c r="A82" s="53"/>
      <c r="B82" s="54"/>
      <c r="C82" s="54"/>
      <c r="D82" s="54"/>
      <c r="E82" s="54"/>
      <c r="F82" s="54"/>
      <c r="G82" s="54"/>
      <c r="H82" s="54"/>
      <c r="I82" s="54"/>
      <c r="J82" s="54"/>
      <c r="K82" s="54"/>
      <c r="L82" s="54"/>
      <c r="M82" s="54"/>
    </row>
    <row r="83" customFormat="false" ht="15" hidden="false" customHeight="false" outlineLevel="0" collapsed="false">
      <c r="A83" s="53"/>
      <c r="B83" s="54"/>
      <c r="C83" s="54"/>
      <c r="D83" s="54"/>
      <c r="E83" s="54"/>
      <c r="F83" s="54"/>
      <c r="G83" s="54"/>
      <c r="H83" s="54"/>
      <c r="I83" s="54"/>
      <c r="J83" s="54"/>
      <c r="K83" s="54"/>
      <c r="L83" s="54"/>
      <c r="M83" s="54"/>
    </row>
    <row r="84" customFormat="false" ht="15" hidden="false" customHeight="false" outlineLevel="0" collapsed="false">
      <c r="A84" s="40" t="s">
        <v>113</v>
      </c>
      <c r="B84" s="51" t="n">
        <f aca="false">SUM(B76:B83)</f>
        <v>0</v>
      </c>
      <c r="C84" s="51" t="n">
        <f aca="false">SUM(C76:C83)</f>
        <v>0</v>
      </c>
      <c r="D84" s="51" t="n">
        <f aca="false">SUM(D76:D83)</f>
        <v>0</v>
      </c>
      <c r="E84" s="51" t="n">
        <f aca="false">SUM(E76:E83)</f>
        <v>0</v>
      </c>
      <c r="F84" s="51" t="n">
        <f aca="false">SUM(F76:F83)</f>
        <v>0</v>
      </c>
      <c r="G84" s="51" t="n">
        <f aca="false">SUM(G76:G83)</f>
        <v>0</v>
      </c>
      <c r="H84" s="51" t="n">
        <f aca="false">SUM(H76:H83)</f>
        <v>0</v>
      </c>
      <c r="I84" s="51" t="n">
        <f aca="false">SUM(I76:I83)</f>
        <v>0</v>
      </c>
      <c r="J84" s="51" t="n">
        <f aca="false">SUM(J76:J83)</f>
        <v>0</v>
      </c>
      <c r="K84" s="51" t="n">
        <f aca="false">SUM(K76:K83)</f>
        <v>0</v>
      </c>
      <c r="L84" s="51" t="n">
        <f aca="false">SUM(L76:L83)</f>
        <v>0</v>
      </c>
      <c r="M84" s="51" t="n">
        <f aca="false">SUM(M76:M83)</f>
        <v>0</v>
      </c>
    </row>
    <row r="86" customFormat="false" ht="15" hidden="false" customHeight="false" outlineLevel="0" collapsed="false">
      <c r="A86" s="34" t="str">
        <f aca="false">"PowerBI data – previous period ("&amp;PrevLbl&amp;")"</f>
        <v>PowerBI data – previous period (P6)</v>
      </c>
      <c r="B86" s="35"/>
      <c r="C86" s="35"/>
      <c r="D86" s="35"/>
      <c r="E86" s="35"/>
      <c r="F86" s="35"/>
      <c r="G86" s="35"/>
      <c r="H86" s="35"/>
      <c r="I86" s="35"/>
      <c r="J86" s="35"/>
      <c r="K86" s="35"/>
      <c r="L86" s="35"/>
      <c r="M86" s="35"/>
    </row>
    <row r="87" customFormat="false" ht="30" hidden="false" customHeight="true" outlineLevel="0" collapsed="false">
      <c r="A87" s="36" t="s">
        <v>25</v>
      </c>
      <c r="B87" s="14" t="s">
        <v>42</v>
      </c>
      <c r="C87" s="14"/>
      <c r="D87" s="14" t="s">
        <v>43</v>
      </c>
      <c r="E87" s="14"/>
      <c r="F87" s="14" t="s">
        <v>44</v>
      </c>
      <c r="G87" s="14"/>
      <c r="H87" s="14" t="s">
        <v>45</v>
      </c>
      <c r="I87" s="14"/>
      <c r="J87" s="14" t="s">
        <v>46</v>
      </c>
      <c r="K87" s="14"/>
      <c r="L87" s="14" t="s">
        <v>47</v>
      </c>
      <c r="M87" s="14"/>
    </row>
    <row r="88" customFormat="false" ht="15" hidden="false" customHeight="false" outlineLevel="0" collapsed="false">
      <c r="A88" s="36"/>
      <c r="B88" s="48" t="s">
        <v>81</v>
      </c>
      <c r="C88" s="48" t="s">
        <v>82</v>
      </c>
      <c r="D88" s="48" t="s">
        <v>81</v>
      </c>
      <c r="E88" s="48" t="s">
        <v>82</v>
      </c>
      <c r="F88" s="48" t="s">
        <v>81</v>
      </c>
      <c r="G88" s="48" t="s">
        <v>82</v>
      </c>
      <c r="H88" s="48" t="s">
        <v>81</v>
      </c>
      <c r="I88" s="48" t="s">
        <v>82</v>
      </c>
      <c r="J88" s="48" t="s">
        <v>81</v>
      </c>
      <c r="K88" s="48" t="s">
        <v>82</v>
      </c>
      <c r="L88" s="48" t="s">
        <v>81</v>
      </c>
      <c r="M88" s="48" t="s">
        <v>82</v>
      </c>
    </row>
    <row r="89" customFormat="false" ht="15" hidden="false" customHeight="false" outlineLevel="0" collapsed="false">
      <c r="A89" s="49" t="str">
        <f aca="false">IF($A$76="","",$A$76)</f>
        <v>Project 1</v>
      </c>
      <c r="B89" s="54"/>
      <c r="C89" s="54"/>
      <c r="D89" s="54"/>
      <c r="E89" s="54"/>
      <c r="F89" s="54"/>
      <c r="G89" s="54"/>
      <c r="H89" s="54"/>
      <c r="I89" s="54"/>
      <c r="J89" s="54"/>
      <c r="K89" s="54"/>
      <c r="L89" s="54"/>
      <c r="M89" s="54"/>
    </row>
    <row r="90" customFormat="false" ht="15" hidden="false" customHeight="false" outlineLevel="0" collapsed="false">
      <c r="A90" s="49" t="str">
        <f aca="false">IF($A$77="","",$A$77)</f>
        <v>Project 2</v>
      </c>
      <c r="B90" s="54"/>
      <c r="C90" s="54"/>
      <c r="D90" s="54"/>
      <c r="E90" s="54"/>
      <c r="F90" s="54"/>
      <c r="G90" s="54"/>
      <c r="H90" s="54"/>
      <c r="I90" s="54"/>
      <c r="J90" s="54"/>
      <c r="K90" s="54"/>
      <c r="L90" s="54"/>
      <c r="M90" s="54"/>
    </row>
    <row r="91" customFormat="false" ht="15" hidden="false" customHeight="false" outlineLevel="0" collapsed="false">
      <c r="A91" s="49" t="str">
        <f aca="false">IF($A$78="","",$A$78)</f>
        <v>Project 3</v>
      </c>
      <c r="B91" s="54"/>
      <c r="C91" s="54"/>
      <c r="D91" s="54"/>
      <c r="E91" s="54"/>
      <c r="F91" s="54"/>
      <c r="G91" s="54"/>
      <c r="H91" s="54"/>
      <c r="I91" s="54"/>
      <c r="J91" s="54"/>
      <c r="K91" s="54"/>
      <c r="L91" s="54"/>
      <c r="M91" s="54"/>
    </row>
    <row r="92" customFormat="false" ht="15" hidden="false" customHeight="false" outlineLevel="0" collapsed="false">
      <c r="A92" s="49" t="str">
        <f aca="false">IF($A$79="","",$A$79)</f>
        <v>Project 4</v>
      </c>
      <c r="B92" s="54"/>
      <c r="C92" s="54"/>
      <c r="D92" s="54"/>
      <c r="E92" s="54"/>
      <c r="F92" s="54"/>
      <c r="G92" s="54"/>
      <c r="H92" s="54"/>
      <c r="I92" s="54"/>
      <c r="J92" s="54"/>
      <c r="K92" s="54"/>
      <c r="L92" s="54"/>
      <c r="M92" s="54"/>
    </row>
    <row r="93" customFormat="false" ht="15" hidden="false" customHeight="false" outlineLevel="0" collapsed="false">
      <c r="A93" s="49" t="str">
        <f aca="false">IF($A$80="","",$A$80)</f>
        <v>Project 5</v>
      </c>
      <c r="B93" s="54"/>
      <c r="C93" s="54"/>
      <c r="D93" s="54"/>
      <c r="E93" s="54"/>
      <c r="F93" s="54"/>
      <c r="G93" s="54"/>
      <c r="H93" s="54"/>
      <c r="I93" s="54"/>
      <c r="J93" s="54"/>
      <c r="K93" s="54"/>
      <c r="L93" s="54"/>
      <c r="M93" s="54"/>
    </row>
    <row r="94" customFormat="false" ht="15" hidden="false" customHeight="false" outlineLevel="0" collapsed="false">
      <c r="A94" s="49" t="str">
        <f aca="false">IF($A$81="","",$A$81)</f>
        <v>Project 6</v>
      </c>
      <c r="B94" s="54"/>
      <c r="C94" s="54"/>
      <c r="D94" s="54"/>
      <c r="E94" s="54"/>
      <c r="F94" s="54"/>
      <c r="G94" s="54"/>
      <c r="H94" s="54"/>
      <c r="I94" s="54"/>
      <c r="J94" s="54"/>
      <c r="K94" s="54"/>
      <c r="L94" s="54"/>
      <c r="M94" s="54"/>
    </row>
    <row r="95" customFormat="false" ht="15" hidden="false" customHeight="false" outlineLevel="0" collapsed="false">
      <c r="A95" s="49" t="str">
        <f aca="false">IF($A$82="","",$A$82)</f>
        <v/>
      </c>
      <c r="B95" s="54"/>
      <c r="C95" s="54"/>
      <c r="D95" s="54"/>
      <c r="E95" s="54"/>
      <c r="F95" s="54"/>
      <c r="G95" s="54"/>
      <c r="H95" s="54"/>
      <c r="I95" s="54"/>
      <c r="J95" s="54"/>
      <c r="K95" s="54"/>
      <c r="L95" s="54"/>
      <c r="M95" s="54"/>
    </row>
    <row r="96" customFormat="false" ht="15" hidden="false" customHeight="false" outlineLevel="0" collapsed="false">
      <c r="A96" s="49" t="str">
        <f aca="false">IF($A$83="","",$A$83)</f>
        <v/>
      </c>
      <c r="B96" s="54"/>
      <c r="C96" s="54"/>
      <c r="D96" s="54"/>
      <c r="E96" s="54"/>
      <c r="F96" s="54"/>
      <c r="G96" s="54"/>
      <c r="H96" s="54"/>
      <c r="I96" s="54"/>
      <c r="J96" s="54"/>
      <c r="K96" s="54"/>
      <c r="L96" s="54"/>
      <c r="M96" s="54"/>
    </row>
    <row r="97" customFormat="false" ht="15" hidden="false" customHeight="false" outlineLevel="0" collapsed="false">
      <c r="A97" s="40" t="s">
        <v>113</v>
      </c>
      <c r="B97" s="51" t="n">
        <f aca="false">SUM(B89:B96)</f>
        <v>0</v>
      </c>
      <c r="C97" s="51" t="n">
        <f aca="false">SUM(C89:C96)</f>
        <v>0</v>
      </c>
      <c r="D97" s="51" t="n">
        <f aca="false">SUM(D89:D96)</f>
        <v>0</v>
      </c>
      <c r="E97" s="51" t="n">
        <f aca="false">SUM(E89:E96)</f>
        <v>0</v>
      </c>
      <c r="F97" s="51" t="n">
        <f aca="false">SUM(F89:F96)</f>
        <v>0</v>
      </c>
      <c r="G97" s="51" t="n">
        <f aca="false">SUM(G89:G96)</f>
        <v>0</v>
      </c>
      <c r="H97" s="51" t="n">
        <f aca="false">SUM(H89:H96)</f>
        <v>0</v>
      </c>
      <c r="I97" s="51" t="n">
        <f aca="false">SUM(I89:I96)</f>
        <v>0</v>
      </c>
      <c r="J97" s="51" t="n">
        <f aca="false">SUM(J89:J96)</f>
        <v>0</v>
      </c>
      <c r="K97" s="51" t="n">
        <f aca="false">SUM(K89:K96)</f>
        <v>0</v>
      </c>
      <c r="L97" s="51" t="n">
        <f aca="false">SUM(L89:L96)</f>
        <v>0</v>
      </c>
      <c r="M97" s="51" t="n">
        <f aca="false">SUM(M89:M96)</f>
        <v>0</v>
      </c>
    </row>
    <row r="99" customFormat="false" ht="15" hidden="false" customHeight="false" outlineLevel="0" collapsed="false">
      <c r="A99" s="34" t="str">
        <f aca="false">"Quality Performance – current period ("&amp;CurLbl&amp;")"</f>
        <v>Quality Performance – current period (P7)</v>
      </c>
      <c r="B99" s="35"/>
      <c r="C99" s="35"/>
      <c r="D99" s="35"/>
      <c r="E99" s="35"/>
      <c r="F99" s="35"/>
      <c r="G99" s="35"/>
      <c r="H99" s="35"/>
      <c r="I99" s="35"/>
      <c r="J99" s="35"/>
      <c r="K99" s="35"/>
      <c r="L99" s="35"/>
      <c r="M99" s="35"/>
    </row>
    <row r="100" customFormat="false" ht="30" hidden="false" customHeight="true" outlineLevel="0" collapsed="false">
      <c r="A100" s="36" t="s">
        <v>25</v>
      </c>
      <c r="B100" s="14" t="s">
        <v>50</v>
      </c>
      <c r="C100" s="14"/>
      <c r="D100" s="14" t="s">
        <v>51</v>
      </c>
      <c r="E100" s="14"/>
      <c r="F100" s="14" t="s">
        <v>52</v>
      </c>
      <c r="G100" s="14"/>
      <c r="H100" s="14" t="s">
        <v>53</v>
      </c>
      <c r="I100" s="14"/>
    </row>
    <row r="101" customFormat="false" ht="15" hidden="false" customHeight="true" outlineLevel="0" collapsed="false">
      <c r="A101" s="36"/>
      <c r="B101" s="48" t="s">
        <v>83</v>
      </c>
      <c r="C101" s="48"/>
      <c r="D101" s="48" t="s">
        <v>81</v>
      </c>
      <c r="E101" s="48" t="s">
        <v>82</v>
      </c>
      <c r="F101" s="48" t="s">
        <v>81</v>
      </c>
      <c r="G101" s="48" t="s">
        <v>82</v>
      </c>
      <c r="H101" s="48" t="s">
        <v>81</v>
      </c>
      <c r="I101" s="48" t="s">
        <v>82</v>
      </c>
    </row>
    <row r="102" customFormat="false" ht="15" hidden="false" customHeight="false" outlineLevel="0" collapsed="false">
      <c r="A102" s="49" t="str">
        <f aca="false">IF($A$76="","",$A$76)</f>
        <v>Project 1</v>
      </c>
      <c r="B102" s="54"/>
      <c r="C102" s="54"/>
      <c r="D102" s="54"/>
      <c r="E102" s="54"/>
      <c r="F102" s="54"/>
      <c r="G102" s="54"/>
      <c r="H102" s="54"/>
      <c r="I102" s="54"/>
    </row>
    <row r="103" customFormat="false" ht="15" hidden="false" customHeight="false" outlineLevel="0" collapsed="false">
      <c r="A103" s="49" t="str">
        <f aca="false">IF($A$77="","",$A$77)</f>
        <v>Project 2</v>
      </c>
      <c r="B103" s="54"/>
      <c r="C103" s="54"/>
      <c r="D103" s="54"/>
      <c r="E103" s="54"/>
      <c r="F103" s="54"/>
      <c r="G103" s="54"/>
      <c r="H103" s="54"/>
      <c r="I103" s="54"/>
    </row>
    <row r="104" customFormat="false" ht="15" hidden="false" customHeight="false" outlineLevel="0" collapsed="false">
      <c r="A104" s="49" t="str">
        <f aca="false">IF($A$78="","",$A$78)</f>
        <v>Project 3</v>
      </c>
      <c r="B104" s="54"/>
      <c r="C104" s="54"/>
      <c r="D104" s="54"/>
      <c r="E104" s="54"/>
      <c r="F104" s="54"/>
      <c r="G104" s="54"/>
      <c r="H104" s="54"/>
      <c r="I104" s="54"/>
    </row>
    <row r="105" customFormat="false" ht="15" hidden="false" customHeight="false" outlineLevel="0" collapsed="false">
      <c r="A105" s="49" t="str">
        <f aca="false">IF($A$79="","",$A$79)</f>
        <v>Project 4</v>
      </c>
      <c r="B105" s="54"/>
      <c r="C105" s="54"/>
      <c r="D105" s="54"/>
      <c r="E105" s="54"/>
      <c r="F105" s="54"/>
      <c r="G105" s="54"/>
      <c r="H105" s="54"/>
      <c r="I105" s="54"/>
    </row>
    <row r="106" customFormat="false" ht="15" hidden="false" customHeight="false" outlineLevel="0" collapsed="false">
      <c r="A106" s="49" t="str">
        <f aca="false">IF($A$80="","",$A$80)</f>
        <v>Project 5</v>
      </c>
      <c r="B106" s="54"/>
      <c r="C106" s="54"/>
      <c r="D106" s="54"/>
      <c r="E106" s="54"/>
      <c r="F106" s="54"/>
      <c r="G106" s="54"/>
      <c r="H106" s="54"/>
      <c r="I106" s="54"/>
    </row>
    <row r="107" customFormat="false" ht="15" hidden="false" customHeight="false" outlineLevel="0" collapsed="false">
      <c r="A107" s="49" t="str">
        <f aca="false">IF($A$81="","",$A$81)</f>
        <v>Project 6</v>
      </c>
      <c r="B107" s="54"/>
      <c r="C107" s="54"/>
      <c r="D107" s="54"/>
      <c r="E107" s="54"/>
      <c r="F107" s="54"/>
      <c r="G107" s="54"/>
      <c r="H107" s="54"/>
      <c r="I107" s="54"/>
    </row>
    <row r="108" customFormat="false" ht="15" hidden="false" customHeight="false" outlineLevel="0" collapsed="false">
      <c r="A108" s="49" t="str">
        <f aca="false">IF($A$82="","",$A$82)</f>
        <v/>
      </c>
      <c r="B108" s="54"/>
      <c r="C108" s="54"/>
      <c r="D108" s="54"/>
      <c r="E108" s="54"/>
      <c r="F108" s="54"/>
      <c r="G108" s="54"/>
      <c r="H108" s="54"/>
      <c r="I108" s="54"/>
    </row>
    <row r="109" customFormat="false" ht="15" hidden="false" customHeight="false" outlineLevel="0" collapsed="false">
      <c r="A109" s="49" t="str">
        <f aca="false">IF($A$83="","",$A$83)</f>
        <v/>
      </c>
      <c r="B109" s="54"/>
      <c r="C109" s="54"/>
      <c r="D109" s="54"/>
      <c r="E109" s="54"/>
      <c r="F109" s="54"/>
      <c r="G109" s="54"/>
      <c r="H109" s="54"/>
      <c r="I109" s="54"/>
    </row>
    <row r="110" customFormat="false" ht="15" hidden="false" customHeight="false" outlineLevel="0" collapsed="false">
      <c r="A110" s="40" t="s">
        <v>113</v>
      </c>
      <c r="B110" s="51" t="str">
        <f aca="false">IF(COUNT(B102:B109)=0,"",SUM(B102:B109))</f>
        <v/>
      </c>
      <c r="C110" s="51"/>
      <c r="D110" s="51" t="n">
        <f aca="false">SUM(D102:D109)</f>
        <v>0</v>
      </c>
      <c r="E110" s="51" t="n">
        <f aca="false">SUM(E102:E109)</f>
        <v>0</v>
      </c>
      <c r="F110" s="51" t="n">
        <f aca="false">SUM(F102:F109)</f>
        <v>0</v>
      </c>
      <c r="G110" s="51" t="n">
        <f aca="false">SUM(G102:G109)</f>
        <v>0</v>
      </c>
      <c r="H110" s="51" t="n">
        <f aca="false">SUM(H102:H109)</f>
        <v>0</v>
      </c>
      <c r="I110" s="51" t="n">
        <f aca="false">SUM(I102:I109)</f>
        <v>0</v>
      </c>
    </row>
  </sheetData>
  <mergeCells count="202">
    <mergeCell ref="A2:H2"/>
    <mergeCell ref="I2:M2"/>
    <mergeCell ref="J3:M3"/>
    <mergeCell ref="B5:C5"/>
    <mergeCell ref="D5:E5"/>
    <mergeCell ref="F5:G5"/>
    <mergeCell ref="H5:I5"/>
    <mergeCell ref="J5:K5"/>
    <mergeCell ref="L5:M5"/>
    <mergeCell ref="B6:C6"/>
    <mergeCell ref="D6:E6"/>
    <mergeCell ref="F6:G6"/>
    <mergeCell ref="H6:I6"/>
    <mergeCell ref="J6:K6"/>
    <mergeCell ref="L6:M6"/>
    <mergeCell ref="B7:C7"/>
    <mergeCell ref="D7:E7"/>
    <mergeCell ref="F7:G7"/>
    <mergeCell ref="H7:I7"/>
    <mergeCell ref="J7:K7"/>
    <mergeCell ref="L7:M7"/>
    <mergeCell ref="B8:C8"/>
    <mergeCell ref="D8:E8"/>
    <mergeCell ref="F8:G8"/>
    <mergeCell ref="H8:I8"/>
    <mergeCell ref="J8:K8"/>
    <mergeCell ref="L8:M8"/>
    <mergeCell ref="B10:C10"/>
    <mergeCell ref="D10:E10"/>
    <mergeCell ref="F10:G10"/>
    <mergeCell ref="H10:I10"/>
    <mergeCell ref="J10:K10"/>
    <mergeCell ref="L10:M10"/>
    <mergeCell ref="B11:C11"/>
    <mergeCell ref="D11:E11"/>
    <mergeCell ref="F11:G11"/>
    <mergeCell ref="H11:I11"/>
    <mergeCell ref="J11:K11"/>
    <mergeCell ref="L11:M11"/>
    <mergeCell ref="B12:C12"/>
    <mergeCell ref="D12:E12"/>
    <mergeCell ref="F12:G12"/>
    <mergeCell ref="H12:I12"/>
    <mergeCell ref="J12:K12"/>
    <mergeCell ref="L12:M12"/>
    <mergeCell ref="B13:C13"/>
    <mergeCell ref="D13:E13"/>
    <mergeCell ref="F13:G13"/>
    <mergeCell ref="H13:I13"/>
    <mergeCell ref="J13:K13"/>
    <mergeCell ref="L13:M13"/>
    <mergeCell ref="B16:C16"/>
    <mergeCell ref="D16:E16"/>
    <mergeCell ref="F16:G16"/>
    <mergeCell ref="H16:I16"/>
    <mergeCell ref="J16:M16"/>
    <mergeCell ref="B17:C17"/>
    <mergeCell ref="D17:E17"/>
    <mergeCell ref="F17:G17"/>
    <mergeCell ref="H17:I17"/>
    <mergeCell ref="J17:M32"/>
    <mergeCell ref="B18:C18"/>
    <mergeCell ref="D18:E18"/>
    <mergeCell ref="F18:G18"/>
    <mergeCell ref="H18:I18"/>
    <mergeCell ref="B19:C19"/>
    <mergeCell ref="D19:E19"/>
    <mergeCell ref="F19:G19"/>
    <mergeCell ref="H19:I19"/>
    <mergeCell ref="B20:C20"/>
    <mergeCell ref="D20:E20"/>
    <mergeCell ref="F20:G20"/>
    <mergeCell ref="H20:I20"/>
    <mergeCell ref="B23:C23"/>
    <mergeCell ref="D23:E23"/>
    <mergeCell ref="F23:G23"/>
    <mergeCell ref="H23:I23"/>
    <mergeCell ref="B24:C24"/>
    <mergeCell ref="D24:E24"/>
    <mergeCell ref="F24:G24"/>
    <mergeCell ref="H24:I24"/>
    <mergeCell ref="B25:C25"/>
    <mergeCell ref="D25:E25"/>
    <mergeCell ref="F25:G25"/>
    <mergeCell ref="H25:I25"/>
    <mergeCell ref="B26:C26"/>
    <mergeCell ref="D26:E26"/>
    <mergeCell ref="F26:G26"/>
    <mergeCell ref="H26:I26"/>
    <mergeCell ref="B27:C27"/>
    <mergeCell ref="D27:E27"/>
    <mergeCell ref="F27:G27"/>
    <mergeCell ref="H27:I27"/>
    <mergeCell ref="B28:C28"/>
    <mergeCell ref="D28:E28"/>
    <mergeCell ref="F28:G28"/>
    <mergeCell ref="H28:I28"/>
    <mergeCell ref="B29:C29"/>
    <mergeCell ref="D29:E29"/>
    <mergeCell ref="F29:G29"/>
    <mergeCell ref="H29:I29"/>
    <mergeCell ref="B30:C30"/>
    <mergeCell ref="D30:E30"/>
    <mergeCell ref="F30:G30"/>
    <mergeCell ref="H30:I30"/>
    <mergeCell ref="B31:C31"/>
    <mergeCell ref="D31:E31"/>
    <mergeCell ref="F31:G31"/>
    <mergeCell ref="H31:I31"/>
    <mergeCell ref="B32:C32"/>
    <mergeCell ref="D32:E32"/>
    <mergeCell ref="F32:G32"/>
    <mergeCell ref="H32:I32"/>
    <mergeCell ref="B35:D35"/>
    <mergeCell ref="E35:G35"/>
    <mergeCell ref="H35:J35"/>
    <mergeCell ref="K35:M35"/>
    <mergeCell ref="B36:D36"/>
    <mergeCell ref="E36:G36"/>
    <mergeCell ref="H36:J36"/>
    <mergeCell ref="K36:M36"/>
    <mergeCell ref="B37:D37"/>
    <mergeCell ref="E37:G37"/>
    <mergeCell ref="H37:J37"/>
    <mergeCell ref="K37:M37"/>
    <mergeCell ref="B38:D38"/>
    <mergeCell ref="E38:G38"/>
    <mergeCell ref="H38:J38"/>
    <mergeCell ref="K38:M38"/>
    <mergeCell ref="B39:D39"/>
    <mergeCell ref="E39:G39"/>
    <mergeCell ref="H39:J39"/>
    <mergeCell ref="K39:M39"/>
    <mergeCell ref="B40:D40"/>
    <mergeCell ref="E40:G40"/>
    <mergeCell ref="H40:J40"/>
    <mergeCell ref="K40:M40"/>
    <mergeCell ref="B41:D41"/>
    <mergeCell ref="E41:G41"/>
    <mergeCell ref="H41:J41"/>
    <mergeCell ref="K41:M41"/>
    <mergeCell ref="B42:D42"/>
    <mergeCell ref="E42:G42"/>
    <mergeCell ref="H42:J42"/>
    <mergeCell ref="K42:M42"/>
    <mergeCell ref="B43:D43"/>
    <mergeCell ref="E43:G43"/>
    <mergeCell ref="H43:J43"/>
    <mergeCell ref="K43:M43"/>
    <mergeCell ref="B44:D44"/>
    <mergeCell ref="E44:G44"/>
    <mergeCell ref="H44:J44"/>
    <mergeCell ref="K44:M44"/>
    <mergeCell ref="B48:C48"/>
    <mergeCell ref="D48:E48"/>
    <mergeCell ref="F48:G48"/>
    <mergeCell ref="H48:I48"/>
    <mergeCell ref="J48:K48"/>
    <mergeCell ref="L48:M48"/>
    <mergeCell ref="B59:C59"/>
    <mergeCell ref="D59:E59"/>
    <mergeCell ref="F59:G59"/>
    <mergeCell ref="H59:I59"/>
    <mergeCell ref="B60:C60"/>
    <mergeCell ref="B61:C61"/>
    <mergeCell ref="B62:C62"/>
    <mergeCell ref="B63:C63"/>
    <mergeCell ref="B64:C64"/>
    <mergeCell ref="B65:C65"/>
    <mergeCell ref="B66:C66"/>
    <mergeCell ref="B67:C67"/>
    <mergeCell ref="B68:C68"/>
    <mergeCell ref="A71:M71"/>
    <mergeCell ref="A74:A75"/>
    <mergeCell ref="B74:C74"/>
    <mergeCell ref="D74:E74"/>
    <mergeCell ref="F74:G74"/>
    <mergeCell ref="H74:I74"/>
    <mergeCell ref="J74:K74"/>
    <mergeCell ref="L74:M74"/>
    <mergeCell ref="A87:A88"/>
    <mergeCell ref="B87:C87"/>
    <mergeCell ref="D87:E87"/>
    <mergeCell ref="F87:G87"/>
    <mergeCell ref="H87:I87"/>
    <mergeCell ref="J87:K87"/>
    <mergeCell ref="L87:M87"/>
    <mergeCell ref="A100:A101"/>
    <mergeCell ref="B100:C100"/>
    <mergeCell ref="D100:E100"/>
    <mergeCell ref="F100:G100"/>
    <mergeCell ref="H100:I100"/>
    <mergeCell ref="B101:C101"/>
    <mergeCell ref="B102:C102"/>
    <mergeCell ref="B103:C103"/>
    <mergeCell ref="B104:C104"/>
    <mergeCell ref="B105:C105"/>
    <mergeCell ref="B106:C106"/>
    <mergeCell ref="B107:C107"/>
    <mergeCell ref="B108:C108"/>
    <mergeCell ref="B109:C109"/>
    <mergeCell ref="B110:C110"/>
  </mergeCells>
  <conditionalFormatting sqref="B76">
    <cfRule type="expression" priority="2" aboveAverage="0" equalAverage="0" bottom="0" percent="0" rank="0" text="" dxfId="0">
      <formula>AND(ISNUMBER(B76),ISNUMBER(C76),B76&gt;C76)</formula>
    </cfRule>
  </conditionalFormatting>
  <conditionalFormatting sqref="D76">
    <cfRule type="expression" priority="3" aboveAverage="0" equalAverage="0" bottom="0" percent="0" rank="0" text="" dxfId="0">
      <formula>AND(ISNUMBER(D76),ISNUMBER(E76),D76&gt;E76)</formula>
    </cfRule>
  </conditionalFormatting>
  <conditionalFormatting sqref="F76">
    <cfRule type="expression" priority="4" aboveAverage="0" equalAverage="0" bottom="0" percent="0" rank="0" text="" dxfId="0">
      <formula>AND(ISNUMBER(F76),ISNUMBER(G76),F76&gt;G76)</formula>
    </cfRule>
  </conditionalFormatting>
  <conditionalFormatting sqref="H76">
    <cfRule type="expression" priority="5" aboveAverage="0" equalAverage="0" bottom="0" percent="0" rank="0" text="" dxfId="0">
      <formula>AND(ISNUMBER(H76),ISNUMBER(I76),H76&gt;I76)</formula>
    </cfRule>
  </conditionalFormatting>
  <conditionalFormatting sqref="J76">
    <cfRule type="expression" priority="6" aboveAverage="0" equalAverage="0" bottom="0" percent="0" rank="0" text="" dxfId="0">
      <formula>AND(ISNUMBER(J76),ISNUMBER(K76),J76&gt;K76)</formula>
    </cfRule>
  </conditionalFormatting>
  <conditionalFormatting sqref="L76">
    <cfRule type="expression" priority="7" aboveAverage="0" equalAverage="0" bottom="0" percent="0" rank="0" text="" dxfId="0">
      <formula>AND(ISNUMBER(L76),ISNUMBER(M76),L76&gt;M76)</formula>
    </cfRule>
  </conditionalFormatting>
  <conditionalFormatting sqref="B77">
    <cfRule type="expression" priority="8" aboveAverage="0" equalAverage="0" bottom="0" percent="0" rank="0" text="" dxfId="0">
      <formula>AND(ISNUMBER(B77),ISNUMBER(C77),B77&gt;C77)</formula>
    </cfRule>
  </conditionalFormatting>
  <conditionalFormatting sqref="D77">
    <cfRule type="expression" priority="9" aboveAverage="0" equalAverage="0" bottom="0" percent="0" rank="0" text="" dxfId="0">
      <formula>AND(ISNUMBER(D77),ISNUMBER(E77),D77&gt;E77)</formula>
    </cfRule>
  </conditionalFormatting>
  <conditionalFormatting sqref="F77">
    <cfRule type="expression" priority="10" aboveAverage="0" equalAverage="0" bottom="0" percent="0" rank="0" text="" dxfId="0">
      <formula>AND(ISNUMBER(F77),ISNUMBER(G77),F77&gt;G77)</formula>
    </cfRule>
  </conditionalFormatting>
  <conditionalFormatting sqref="H77">
    <cfRule type="expression" priority="11" aboveAverage="0" equalAverage="0" bottom="0" percent="0" rank="0" text="" dxfId="0">
      <formula>AND(ISNUMBER(H77),ISNUMBER(I77),H77&gt;I77)</formula>
    </cfRule>
  </conditionalFormatting>
  <conditionalFormatting sqref="J77">
    <cfRule type="expression" priority="12" aboveAverage="0" equalAverage="0" bottom="0" percent="0" rank="0" text="" dxfId="0">
      <formula>AND(ISNUMBER(J77),ISNUMBER(K77),J77&gt;K77)</formula>
    </cfRule>
  </conditionalFormatting>
  <conditionalFormatting sqref="L77">
    <cfRule type="expression" priority="13" aboveAverage="0" equalAverage="0" bottom="0" percent="0" rank="0" text="" dxfId="0">
      <formula>AND(ISNUMBER(L77),ISNUMBER(M77),L77&gt;M77)</formula>
    </cfRule>
  </conditionalFormatting>
  <conditionalFormatting sqref="B78">
    <cfRule type="expression" priority="14" aboveAverage="0" equalAverage="0" bottom="0" percent="0" rank="0" text="" dxfId="0">
      <formula>AND(ISNUMBER(B78),ISNUMBER(C78),B78&gt;C78)</formula>
    </cfRule>
  </conditionalFormatting>
  <conditionalFormatting sqref="D78">
    <cfRule type="expression" priority="15" aboveAverage="0" equalAverage="0" bottom="0" percent="0" rank="0" text="" dxfId="0">
      <formula>AND(ISNUMBER(D78),ISNUMBER(E78),D78&gt;E78)</formula>
    </cfRule>
  </conditionalFormatting>
  <conditionalFormatting sqref="F78">
    <cfRule type="expression" priority="16" aboveAverage="0" equalAverage="0" bottom="0" percent="0" rank="0" text="" dxfId="0">
      <formula>AND(ISNUMBER(F78),ISNUMBER(G78),F78&gt;G78)</formula>
    </cfRule>
  </conditionalFormatting>
  <conditionalFormatting sqref="H78">
    <cfRule type="expression" priority="17" aboveAverage="0" equalAverage="0" bottom="0" percent="0" rank="0" text="" dxfId="0">
      <formula>AND(ISNUMBER(H78),ISNUMBER(I78),H78&gt;I78)</formula>
    </cfRule>
  </conditionalFormatting>
  <conditionalFormatting sqref="J78">
    <cfRule type="expression" priority="18" aboveAverage="0" equalAverage="0" bottom="0" percent="0" rank="0" text="" dxfId="0">
      <formula>AND(ISNUMBER(J78),ISNUMBER(K78),J78&gt;K78)</formula>
    </cfRule>
  </conditionalFormatting>
  <conditionalFormatting sqref="L78">
    <cfRule type="expression" priority="19" aboveAverage="0" equalAverage="0" bottom="0" percent="0" rank="0" text="" dxfId="0">
      <formula>AND(ISNUMBER(L78),ISNUMBER(M78),L78&gt;M78)</formula>
    </cfRule>
  </conditionalFormatting>
  <conditionalFormatting sqref="B79">
    <cfRule type="expression" priority="20" aboveAverage="0" equalAverage="0" bottom="0" percent="0" rank="0" text="" dxfId="0">
      <formula>AND(ISNUMBER(B79),ISNUMBER(C79),B79&gt;C79)</formula>
    </cfRule>
  </conditionalFormatting>
  <conditionalFormatting sqref="D79">
    <cfRule type="expression" priority="21" aboveAverage="0" equalAverage="0" bottom="0" percent="0" rank="0" text="" dxfId="0">
      <formula>AND(ISNUMBER(D79),ISNUMBER(E79),D79&gt;E79)</formula>
    </cfRule>
  </conditionalFormatting>
  <conditionalFormatting sqref="F79">
    <cfRule type="expression" priority="22" aboveAverage="0" equalAverage="0" bottom="0" percent="0" rank="0" text="" dxfId="0">
      <formula>AND(ISNUMBER(F79),ISNUMBER(G79),F79&gt;G79)</formula>
    </cfRule>
  </conditionalFormatting>
  <conditionalFormatting sqref="H79">
    <cfRule type="expression" priority="23" aboveAverage="0" equalAverage="0" bottom="0" percent="0" rank="0" text="" dxfId="0">
      <formula>AND(ISNUMBER(H79),ISNUMBER(I79),H79&gt;I79)</formula>
    </cfRule>
  </conditionalFormatting>
  <conditionalFormatting sqref="J79">
    <cfRule type="expression" priority="24" aboveAverage="0" equalAverage="0" bottom="0" percent="0" rank="0" text="" dxfId="0">
      <formula>AND(ISNUMBER(J79),ISNUMBER(K79),J79&gt;K79)</formula>
    </cfRule>
  </conditionalFormatting>
  <conditionalFormatting sqref="L79">
    <cfRule type="expression" priority="25" aboveAverage="0" equalAverage="0" bottom="0" percent="0" rank="0" text="" dxfId="0">
      <formula>AND(ISNUMBER(L79),ISNUMBER(M79),L79&gt;M79)</formula>
    </cfRule>
  </conditionalFormatting>
  <conditionalFormatting sqref="B80">
    <cfRule type="expression" priority="26" aboveAverage="0" equalAverage="0" bottom="0" percent="0" rank="0" text="" dxfId="0">
      <formula>AND(ISNUMBER(B80),ISNUMBER(C80),B80&gt;C80)</formula>
    </cfRule>
  </conditionalFormatting>
  <conditionalFormatting sqref="D80">
    <cfRule type="expression" priority="27" aboveAverage="0" equalAverage="0" bottom="0" percent="0" rank="0" text="" dxfId="0">
      <formula>AND(ISNUMBER(D80),ISNUMBER(E80),D80&gt;E80)</formula>
    </cfRule>
  </conditionalFormatting>
  <conditionalFormatting sqref="F80">
    <cfRule type="expression" priority="28" aboveAverage="0" equalAverage="0" bottom="0" percent="0" rank="0" text="" dxfId="0">
      <formula>AND(ISNUMBER(F80),ISNUMBER(G80),F80&gt;G80)</formula>
    </cfRule>
  </conditionalFormatting>
  <conditionalFormatting sqref="H80">
    <cfRule type="expression" priority="29" aboveAverage="0" equalAverage="0" bottom="0" percent="0" rank="0" text="" dxfId="0">
      <formula>AND(ISNUMBER(H80),ISNUMBER(I80),H80&gt;I80)</formula>
    </cfRule>
  </conditionalFormatting>
  <conditionalFormatting sqref="J80">
    <cfRule type="expression" priority="30" aboveAverage="0" equalAverage="0" bottom="0" percent="0" rank="0" text="" dxfId="0">
      <formula>AND(ISNUMBER(J80),ISNUMBER(K80),J80&gt;K80)</formula>
    </cfRule>
  </conditionalFormatting>
  <conditionalFormatting sqref="L80">
    <cfRule type="expression" priority="31" aboveAverage="0" equalAverage="0" bottom="0" percent="0" rank="0" text="" dxfId="0">
      <formula>AND(ISNUMBER(L80),ISNUMBER(M80),L80&gt;M80)</formula>
    </cfRule>
  </conditionalFormatting>
  <conditionalFormatting sqref="B81">
    <cfRule type="expression" priority="32" aboveAverage="0" equalAverage="0" bottom="0" percent="0" rank="0" text="" dxfId="0">
      <formula>AND(ISNUMBER(B81),ISNUMBER(C81),B81&gt;C81)</formula>
    </cfRule>
  </conditionalFormatting>
  <conditionalFormatting sqref="D81">
    <cfRule type="expression" priority="33" aboveAverage="0" equalAverage="0" bottom="0" percent="0" rank="0" text="" dxfId="0">
      <formula>AND(ISNUMBER(D81),ISNUMBER(E81),D81&gt;E81)</formula>
    </cfRule>
  </conditionalFormatting>
  <conditionalFormatting sqref="F81">
    <cfRule type="expression" priority="34" aboveAverage="0" equalAverage="0" bottom="0" percent="0" rank="0" text="" dxfId="0">
      <formula>AND(ISNUMBER(F81),ISNUMBER(G81),F81&gt;G81)</formula>
    </cfRule>
  </conditionalFormatting>
  <conditionalFormatting sqref="H81">
    <cfRule type="expression" priority="35" aboveAverage="0" equalAverage="0" bottom="0" percent="0" rank="0" text="" dxfId="0">
      <formula>AND(ISNUMBER(H81),ISNUMBER(I81),H81&gt;I81)</formula>
    </cfRule>
  </conditionalFormatting>
  <conditionalFormatting sqref="J81">
    <cfRule type="expression" priority="36" aboveAverage="0" equalAverage="0" bottom="0" percent="0" rank="0" text="" dxfId="0">
      <formula>AND(ISNUMBER(J81),ISNUMBER(K81),J81&gt;K81)</formula>
    </cfRule>
  </conditionalFormatting>
  <conditionalFormatting sqref="L81">
    <cfRule type="expression" priority="37" aboveAverage="0" equalAverage="0" bottom="0" percent="0" rank="0" text="" dxfId="0">
      <formula>AND(ISNUMBER(L81),ISNUMBER(M81),L81&gt;M81)</formula>
    </cfRule>
  </conditionalFormatting>
  <conditionalFormatting sqref="B82">
    <cfRule type="expression" priority="38" aboveAverage="0" equalAverage="0" bottom="0" percent="0" rank="0" text="" dxfId="0">
      <formula>AND(ISNUMBER(B82),ISNUMBER(C82),B82&gt;C82)</formula>
    </cfRule>
  </conditionalFormatting>
  <conditionalFormatting sqref="D82">
    <cfRule type="expression" priority="39" aboveAverage="0" equalAverage="0" bottom="0" percent="0" rank="0" text="" dxfId="0">
      <formula>AND(ISNUMBER(D82),ISNUMBER(E82),D82&gt;E82)</formula>
    </cfRule>
  </conditionalFormatting>
  <conditionalFormatting sqref="F82">
    <cfRule type="expression" priority="40" aboveAverage="0" equalAverage="0" bottom="0" percent="0" rank="0" text="" dxfId="0">
      <formula>AND(ISNUMBER(F82),ISNUMBER(G82),F82&gt;G82)</formula>
    </cfRule>
  </conditionalFormatting>
  <conditionalFormatting sqref="H82">
    <cfRule type="expression" priority="41" aboveAverage="0" equalAverage="0" bottom="0" percent="0" rank="0" text="" dxfId="0">
      <formula>AND(ISNUMBER(H82),ISNUMBER(I82),H82&gt;I82)</formula>
    </cfRule>
  </conditionalFormatting>
  <conditionalFormatting sqref="J82">
    <cfRule type="expression" priority="42" aboveAverage="0" equalAverage="0" bottom="0" percent="0" rank="0" text="" dxfId="0">
      <formula>AND(ISNUMBER(J82),ISNUMBER(K82),J82&gt;K82)</formula>
    </cfRule>
  </conditionalFormatting>
  <conditionalFormatting sqref="L82">
    <cfRule type="expression" priority="43" aboveAverage="0" equalAverage="0" bottom="0" percent="0" rank="0" text="" dxfId="0">
      <formula>AND(ISNUMBER(L82),ISNUMBER(M82),L82&gt;M82)</formula>
    </cfRule>
  </conditionalFormatting>
  <conditionalFormatting sqref="B83">
    <cfRule type="expression" priority="44" aboveAverage="0" equalAverage="0" bottom="0" percent="0" rank="0" text="" dxfId="0">
      <formula>AND(ISNUMBER(B83),ISNUMBER(C83),B83&gt;C83)</formula>
    </cfRule>
  </conditionalFormatting>
  <conditionalFormatting sqref="D83">
    <cfRule type="expression" priority="45" aboveAverage="0" equalAverage="0" bottom="0" percent="0" rank="0" text="" dxfId="0">
      <formula>AND(ISNUMBER(D83),ISNUMBER(E83),D83&gt;E83)</formula>
    </cfRule>
  </conditionalFormatting>
  <conditionalFormatting sqref="F83">
    <cfRule type="expression" priority="46" aboveAverage="0" equalAverage="0" bottom="0" percent="0" rank="0" text="" dxfId="0">
      <formula>AND(ISNUMBER(F83),ISNUMBER(G83),F83&gt;G83)</formula>
    </cfRule>
  </conditionalFormatting>
  <conditionalFormatting sqref="H83">
    <cfRule type="expression" priority="47" aboveAverage="0" equalAverage="0" bottom="0" percent="0" rank="0" text="" dxfId="0">
      <formula>AND(ISNUMBER(H83),ISNUMBER(I83),H83&gt;I83)</formula>
    </cfRule>
  </conditionalFormatting>
  <conditionalFormatting sqref="J83">
    <cfRule type="expression" priority="48" aboveAverage="0" equalAverage="0" bottom="0" percent="0" rank="0" text="" dxfId="0">
      <formula>AND(ISNUMBER(J83),ISNUMBER(K83),J83&gt;K83)</formula>
    </cfRule>
  </conditionalFormatting>
  <conditionalFormatting sqref="L83">
    <cfRule type="expression" priority="49" aboveAverage="0" equalAverage="0" bottom="0" percent="0" rank="0" text="" dxfId="0">
      <formula>AND(ISNUMBER(L83),ISNUMBER(M83),L83&gt;M83)</formula>
    </cfRule>
  </conditionalFormatting>
  <conditionalFormatting sqref="B89">
    <cfRule type="expression" priority="50" aboveAverage="0" equalAverage="0" bottom="0" percent="0" rank="0" text="" dxfId="0">
      <formula>AND(ISNUMBER(B89),ISNUMBER(C89),B89&gt;C89)</formula>
    </cfRule>
  </conditionalFormatting>
  <conditionalFormatting sqref="D89">
    <cfRule type="expression" priority="51" aboveAverage="0" equalAverage="0" bottom="0" percent="0" rank="0" text="" dxfId="0">
      <formula>AND(ISNUMBER(D89),ISNUMBER(E89),D89&gt;E89)</formula>
    </cfRule>
  </conditionalFormatting>
  <conditionalFormatting sqref="F89">
    <cfRule type="expression" priority="52" aboveAverage="0" equalAverage="0" bottom="0" percent="0" rank="0" text="" dxfId="0">
      <formula>AND(ISNUMBER(F89),ISNUMBER(G89),F89&gt;G89)</formula>
    </cfRule>
  </conditionalFormatting>
  <conditionalFormatting sqref="H89">
    <cfRule type="expression" priority="53" aboveAverage="0" equalAverage="0" bottom="0" percent="0" rank="0" text="" dxfId="0">
      <formula>AND(ISNUMBER(H89),ISNUMBER(I89),H89&gt;I89)</formula>
    </cfRule>
  </conditionalFormatting>
  <conditionalFormatting sqref="J89">
    <cfRule type="expression" priority="54" aboveAverage="0" equalAverage="0" bottom="0" percent="0" rank="0" text="" dxfId="0">
      <formula>AND(ISNUMBER(J89),ISNUMBER(K89),J89&gt;K89)</formula>
    </cfRule>
  </conditionalFormatting>
  <conditionalFormatting sqref="L89">
    <cfRule type="expression" priority="55" aboveAverage="0" equalAverage="0" bottom="0" percent="0" rank="0" text="" dxfId="0">
      <formula>AND(ISNUMBER(L89),ISNUMBER(M89),L89&gt;M89)</formula>
    </cfRule>
  </conditionalFormatting>
  <conditionalFormatting sqref="B90">
    <cfRule type="expression" priority="56" aboveAverage="0" equalAverage="0" bottom="0" percent="0" rank="0" text="" dxfId="0">
      <formula>AND(ISNUMBER(B90),ISNUMBER(C90),B90&gt;C90)</formula>
    </cfRule>
  </conditionalFormatting>
  <conditionalFormatting sqref="D90">
    <cfRule type="expression" priority="57" aboveAverage="0" equalAverage="0" bottom="0" percent="0" rank="0" text="" dxfId="0">
      <formula>AND(ISNUMBER(D90),ISNUMBER(E90),D90&gt;E90)</formula>
    </cfRule>
  </conditionalFormatting>
  <conditionalFormatting sqref="F90">
    <cfRule type="expression" priority="58" aboveAverage="0" equalAverage="0" bottom="0" percent="0" rank="0" text="" dxfId="0">
      <formula>AND(ISNUMBER(F90),ISNUMBER(G90),F90&gt;G90)</formula>
    </cfRule>
  </conditionalFormatting>
  <conditionalFormatting sqref="H90">
    <cfRule type="expression" priority="59" aboveAverage="0" equalAverage="0" bottom="0" percent="0" rank="0" text="" dxfId="0">
      <formula>AND(ISNUMBER(H90),ISNUMBER(I90),H90&gt;I90)</formula>
    </cfRule>
  </conditionalFormatting>
  <conditionalFormatting sqref="J90">
    <cfRule type="expression" priority="60" aboveAverage="0" equalAverage="0" bottom="0" percent="0" rank="0" text="" dxfId="0">
      <formula>AND(ISNUMBER(J90),ISNUMBER(K90),J90&gt;K90)</formula>
    </cfRule>
  </conditionalFormatting>
  <conditionalFormatting sqref="L90">
    <cfRule type="expression" priority="61" aboveAverage="0" equalAverage="0" bottom="0" percent="0" rank="0" text="" dxfId="0">
      <formula>AND(ISNUMBER(L90),ISNUMBER(M90),L90&gt;M90)</formula>
    </cfRule>
  </conditionalFormatting>
  <conditionalFormatting sqref="B91">
    <cfRule type="expression" priority="62" aboveAverage="0" equalAverage="0" bottom="0" percent="0" rank="0" text="" dxfId="0">
      <formula>AND(ISNUMBER(B91),ISNUMBER(C91),B91&gt;C91)</formula>
    </cfRule>
  </conditionalFormatting>
  <conditionalFormatting sqref="D91">
    <cfRule type="expression" priority="63" aboveAverage="0" equalAverage="0" bottom="0" percent="0" rank="0" text="" dxfId="0">
      <formula>AND(ISNUMBER(D91),ISNUMBER(E91),D91&gt;E91)</formula>
    </cfRule>
  </conditionalFormatting>
  <conditionalFormatting sqref="F91">
    <cfRule type="expression" priority="64" aboveAverage="0" equalAverage="0" bottom="0" percent="0" rank="0" text="" dxfId="0">
      <formula>AND(ISNUMBER(F91),ISNUMBER(G91),F91&gt;G91)</formula>
    </cfRule>
  </conditionalFormatting>
  <conditionalFormatting sqref="H91">
    <cfRule type="expression" priority="65" aboveAverage="0" equalAverage="0" bottom="0" percent="0" rank="0" text="" dxfId="0">
      <formula>AND(ISNUMBER(H91),ISNUMBER(I91),H91&gt;I91)</formula>
    </cfRule>
  </conditionalFormatting>
  <conditionalFormatting sqref="J91">
    <cfRule type="expression" priority="66" aboveAverage="0" equalAverage="0" bottom="0" percent="0" rank="0" text="" dxfId="0">
      <formula>AND(ISNUMBER(J91),ISNUMBER(K91),J91&gt;K91)</formula>
    </cfRule>
  </conditionalFormatting>
  <conditionalFormatting sqref="L91">
    <cfRule type="expression" priority="67" aboveAverage="0" equalAverage="0" bottom="0" percent="0" rank="0" text="" dxfId="0">
      <formula>AND(ISNUMBER(L91),ISNUMBER(M91),L91&gt;M91)</formula>
    </cfRule>
  </conditionalFormatting>
  <conditionalFormatting sqref="B92">
    <cfRule type="expression" priority="68" aboveAverage="0" equalAverage="0" bottom="0" percent="0" rank="0" text="" dxfId="0">
      <formula>AND(ISNUMBER(B92),ISNUMBER(C92),B92&gt;C92)</formula>
    </cfRule>
  </conditionalFormatting>
  <conditionalFormatting sqref="D92">
    <cfRule type="expression" priority="69" aboveAverage="0" equalAverage="0" bottom="0" percent="0" rank="0" text="" dxfId="0">
      <formula>AND(ISNUMBER(D92),ISNUMBER(E92),D92&gt;E92)</formula>
    </cfRule>
  </conditionalFormatting>
  <conditionalFormatting sqref="F92">
    <cfRule type="expression" priority="70" aboveAverage="0" equalAverage="0" bottom="0" percent="0" rank="0" text="" dxfId="0">
      <formula>AND(ISNUMBER(F92),ISNUMBER(G92),F92&gt;G92)</formula>
    </cfRule>
  </conditionalFormatting>
  <conditionalFormatting sqref="H92">
    <cfRule type="expression" priority="71" aboveAverage="0" equalAverage="0" bottom="0" percent="0" rank="0" text="" dxfId="0">
      <formula>AND(ISNUMBER(H92),ISNUMBER(I92),H92&gt;I92)</formula>
    </cfRule>
  </conditionalFormatting>
  <conditionalFormatting sqref="J92">
    <cfRule type="expression" priority="72" aboveAverage="0" equalAverage="0" bottom="0" percent="0" rank="0" text="" dxfId="0">
      <formula>AND(ISNUMBER(J92),ISNUMBER(K92),J92&gt;K92)</formula>
    </cfRule>
  </conditionalFormatting>
  <conditionalFormatting sqref="L92">
    <cfRule type="expression" priority="73" aboveAverage="0" equalAverage="0" bottom="0" percent="0" rank="0" text="" dxfId="0">
      <formula>AND(ISNUMBER(L92),ISNUMBER(M92),L92&gt;M92)</formula>
    </cfRule>
  </conditionalFormatting>
  <conditionalFormatting sqref="B93">
    <cfRule type="expression" priority="74" aboveAverage="0" equalAverage="0" bottom="0" percent="0" rank="0" text="" dxfId="0">
      <formula>AND(ISNUMBER(B93),ISNUMBER(C93),B93&gt;C93)</formula>
    </cfRule>
  </conditionalFormatting>
  <conditionalFormatting sqref="D93">
    <cfRule type="expression" priority="75" aboveAverage="0" equalAverage="0" bottom="0" percent="0" rank="0" text="" dxfId="0">
      <formula>AND(ISNUMBER(D93),ISNUMBER(E93),D93&gt;E93)</formula>
    </cfRule>
  </conditionalFormatting>
  <conditionalFormatting sqref="F93">
    <cfRule type="expression" priority="76" aboveAverage="0" equalAverage="0" bottom="0" percent="0" rank="0" text="" dxfId="0">
      <formula>AND(ISNUMBER(F93),ISNUMBER(G93),F93&gt;G93)</formula>
    </cfRule>
  </conditionalFormatting>
  <conditionalFormatting sqref="H93">
    <cfRule type="expression" priority="77" aboveAverage="0" equalAverage="0" bottom="0" percent="0" rank="0" text="" dxfId="0">
      <formula>AND(ISNUMBER(H93),ISNUMBER(I93),H93&gt;I93)</formula>
    </cfRule>
  </conditionalFormatting>
  <conditionalFormatting sqref="J93">
    <cfRule type="expression" priority="78" aboveAverage="0" equalAverage="0" bottom="0" percent="0" rank="0" text="" dxfId="0">
      <formula>AND(ISNUMBER(J93),ISNUMBER(K93),J93&gt;K93)</formula>
    </cfRule>
  </conditionalFormatting>
  <conditionalFormatting sqref="L93">
    <cfRule type="expression" priority="79" aboveAverage="0" equalAverage="0" bottom="0" percent="0" rank="0" text="" dxfId="0">
      <formula>AND(ISNUMBER(L93),ISNUMBER(M93),L93&gt;M93)</formula>
    </cfRule>
  </conditionalFormatting>
  <conditionalFormatting sqref="B94">
    <cfRule type="expression" priority="80" aboveAverage="0" equalAverage="0" bottom="0" percent="0" rank="0" text="" dxfId="0">
      <formula>AND(ISNUMBER(B94),ISNUMBER(C94),B94&gt;C94)</formula>
    </cfRule>
  </conditionalFormatting>
  <conditionalFormatting sqref="D94">
    <cfRule type="expression" priority="81" aboveAverage="0" equalAverage="0" bottom="0" percent="0" rank="0" text="" dxfId="0">
      <formula>AND(ISNUMBER(D94),ISNUMBER(E94),D94&gt;E94)</formula>
    </cfRule>
  </conditionalFormatting>
  <conditionalFormatting sqref="F94">
    <cfRule type="expression" priority="82" aboveAverage="0" equalAverage="0" bottom="0" percent="0" rank="0" text="" dxfId="0">
      <formula>AND(ISNUMBER(F94),ISNUMBER(G94),F94&gt;G94)</formula>
    </cfRule>
  </conditionalFormatting>
  <conditionalFormatting sqref="H94">
    <cfRule type="expression" priority="83" aboveAverage="0" equalAverage="0" bottom="0" percent="0" rank="0" text="" dxfId="0">
      <formula>AND(ISNUMBER(H94),ISNUMBER(I94),H94&gt;I94)</formula>
    </cfRule>
  </conditionalFormatting>
  <conditionalFormatting sqref="J94">
    <cfRule type="expression" priority="84" aboveAverage="0" equalAverage="0" bottom="0" percent="0" rank="0" text="" dxfId="0">
      <formula>AND(ISNUMBER(J94),ISNUMBER(K94),J94&gt;K94)</formula>
    </cfRule>
  </conditionalFormatting>
  <conditionalFormatting sqref="L94">
    <cfRule type="expression" priority="85" aboveAverage="0" equalAverage="0" bottom="0" percent="0" rank="0" text="" dxfId="0">
      <formula>AND(ISNUMBER(L94),ISNUMBER(M94),L94&gt;M94)</formula>
    </cfRule>
  </conditionalFormatting>
  <conditionalFormatting sqref="B95">
    <cfRule type="expression" priority="86" aboveAverage="0" equalAverage="0" bottom="0" percent="0" rank="0" text="" dxfId="0">
      <formula>AND(ISNUMBER(B95),ISNUMBER(C95),B95&gt;C95)</formula>
    </cfRule>
  </conditionalFormatting>
  <conditionalFormatting sqref="D95">
    <cfRule type="expression" priority="87" aboveAverage="0" equalAverage="0" bottom="0" percent="0" rank="0" text="" dxfId="0">
      <formula>AND(ISNUMBER(D95),ISNUMBER(E95),D95&gt;E95)</formula>
    </cfRule>
  </conditionalFormatting>
  <conditionalFormatting sqref="F95">
    <cfRule type="expression" priority="88" aboveAverage="0" equalAverage="0" bottom="0" percent="0" rank="0" text="" dxfId="0">
      <formula>AND(ISNUMBER(F95),ISNUMBER(G95),F95&gt;G95)</formula>
    </cfRule>
  </conditionalFormatting>
  <conditionalFormatting sqref="H95">
    <cfRule type="expression" priority="89" aboveAverage="0" equalAverage="0" bottom="0" percent="0" rank="0" text="" dxfId="0">
      <formula>AND(ISNUMBER(H95),ISNUMBER(I95),H95&gt;I95)</formula>
    </cfRule>
  </conditionalFormatting>
  <conditionalFormatting sqref="J95">
    <cfRule type="expression" priority="90" aboveAverage="0" equalAverage="0" bottom="0" percent="0" rank="0" text="" dxfId="0">
      <formula>AND(ISNUMBER(J95),ISNUMBER(K95),J95&gt;K95)</formula>
    </cfRule>
  </conditionalFormatting>
  <conditionalFormatting sqref="L95">
    <cfRule type="expression" priority="91" aboveAverage="0" equalAverage="0" bottom="0" percent="0" rank="0" text="" dxfId="0">
      <formula>AND(ISNUMBER(L95),ISNUMBER(M95),L95&gt;M95)</formula>
    </cfRule>
  </conditionalFormatting>
  <conditionalFormatting sqref="B96">
    <cfRule type="expression" priority="92" aboveAverage="0" equalAverage="0" bottom="0" percent="0" rank="0" text="" dxfId="0">
      <formula>AND(ISNUMBER(B96),ISNUMBER(C96),B96&gt;C96)</formula>
    </cfRule>
  </conditionalFormatting>
  <conditionalFormatting sqref="D96">
    <cfRule type="expression" priority="93" aboveAverage="0" equalAverage="0" bottom="0" percent="0" rank="0" text="" dxfId="0">
      <formula>AND(ISNUMBER(D96),ISNUMBER(E96),D96&gt;E96)</formula>
    </cfRule>
  </conditionalFormatting>
  <conditionalFormatting sqref="F96">
    <cfRule type="expression" priority="94" aboveAverage="0" equalAverage="0" bottom="0" percent="0" rank="0" text="" dxfId="0">
      <formula>AND(ISNUMBER(F96),ISNUMBER(G96),F96&gt;G96)</formula>
    </cfRule>
  </conditionalFormatting>
  <conditionalFormatting sqref="H96">
    <cfRule type="expression" priority="95" aboveAverage="0" equalAverage="0" bottom="0" percent="0" rank="0" text="" dxfId="0">
      <formula>AND(ISNUMBER(H96),ISNUMBER(I96),H96&gt;I96)</formula>
    </cfRule>
  </conditionalFormatting>
  <conditionalFormatting sqref="J96">
    <cfRule type="expression" priority="96" aboveAverage="0" equalAverage="0" bottom="0" percent="0" rank="0" text="" dxfId="0">
      <formula>AND(ISNUMBER(J96),ISNUMBER(K96),J96&gt;K96)</formula>
    </cfRule>
  </conditionalFormatting>
  <conditionalFormatting sqref="L96">
    <cfRule type="expression" priority="97" aboveAverage="0" equalAverage="0" bottom="0" percent="0" rank="0" text="" dxfId="0">
      <formula>AND(ISNUMBER(L96),ISNUMBER(M96),L96&gt;M96)</formula>
    </cfRule>
  </conditionalFormatting>
  <conditionalFormatting sqref="D102">
    <cfRule type="expression" priority="98" aboveAverage="0" equalAverage="0" bottom="0" percent="0" rank="0" text="" dxfId="0">
      <formula>AND(ISNUMBER(D102),ISNUMBER(E102),D102&gt;E102)</formula>
    </cfRule>
  </conditionalFormatting>
  <conditionalFormatting sqref="F102">
    <cfRule type="expression" priority="99" aboveAverage="0" equalAverage="0" bottom="0" percent="0" rank="0" text="" dxfId="0">
      <formula>AND(ISNUMBER(F102),ISNUMBER(G102),F102&gt;G102)</formula>
    </cfRule>
  </conditionalFormatting>
  <conditionalFormatting sqref="H102">
    <cfRule type="expression" priority="100" aboveAverage="0" equalAverage="0" bottom="0" percent="0" rank="0" text="" dxfId="0">
      <formula>AND(ISNUMBER(H102),ISNUMBER(I102),H102&gt;I102)</formula>
    </cfRule>
  </conditionalFormatting>
  <conditionalFormatting sqref="D103">
    <cfRule type="expression" priority="101" aboveAverage="0" equalAverage="0" bottom="0" percent="0" rank="0" text="" dxfId="0">
      <formula>AND(ISNUMBER(D103),ISNUMBER(E103),D103&gt;E103)</formula>
    </cfRule>
  </conditionalFormatting>
  <conditionalFormatting sqref="F103">
    <cfRule type="expression" priority="102" aboveAverage="0" equalAverage="0" bottom="0" percent="0" rank="0" text="" dxfId="0">
      <formula>AND(ISNUMBER(F103),ISNUMBER(G103),F103&gt;G103)</formula>
    </cfRule>
  </conditionalFormatting>
  <conditionalFormatting sqref="H103">
    <cfRule type="expression" priority="103" aboveAverage="0" equalAverage="0" bottom="0" percent="0" rank="0" text="" dxfId="0">
      <formula>AND(ISNUMBER(H103),ISNUMBER(I103),H103&gt;I103)</formula>
    </cfRule>
  </conditionalFormatting>
  <conditionalFormatting sqref="D104">
    <cfRule type="expression" priority="104" aboveAverage="0" equalAverage="0" bottom="0" percent="0" rank="0" text="" dxfId="0">
      <formula>AND(ISNUMBER(D104),ISNUMBER(E104),D104&gt;E104)</formula>
    </cfRule>
  </conditionalFormatting>
  <conditionalFormatting sqref="F104">
    <cfRule type="expression" priority="105" aboveAverage="0" equalAverage="0" bottom="0" percent="0" rank="0" text="" dxfId="0">
      <formula>AND(ISNUMBER(F104),ISNUMBER(G104),F104&gt;G104)</formula>
    </cfRule>
  </conditionalFormatting>
  <conditionalFormatting sqref="H104">
    <cfRule type="expression" priority="106" aboveAverage="0" equalAverage="0" bottom="0" percent="0" rank="0" text="" dxfId="0">
      <formula>AND(ISNUMBER(H104),ISNUMBER(I104),H104&gt;I104)</formula>
    </cfRule>
  </conditionalFormatting>
  <conditionalFormatting sqref="D105">
    <cfRule type="expression" priority="107" aboveAverage="0" equalAverage="0" bottom="0" percent="0" rank="0" text="" dxfId="0">
      <formula>AND(ISNUMBER(D105),ISNUMBER(E105),D105&gt;E105)</formula>
    </cfRule>
  </conditionalFormatting>
  <conditionalFormatting sqref="F105">
    <cfRule type="expression" priority="108" aboveAverage="0" equalAverage="0" bottom="0" percent="0" rank="0" text="" dxfId="0">
      <formula>AND(ISNUMBER(F105),ISNUMBER(G105),F105&gt;G105)</formula>
    </cfRule>
  </conditionalFormatting>
  <conditionalFormatting sqref="H105">
    <cfRule type="expression" priority="109" aboveAverage="0" equalAverage="0" bottom="0" percent="0" rank="0" text="" dxfId="0">
      <formula>AND(ISNUMBER(H105),ISNUMBER(I105),H105&gt;I105)</formula>
    </cfRule>
  </conditionalFormatting>
  <conditionalFormatting sqref="D106">
    <cfRule type="expression" priority="110" aboveAverage="0" equalAverage="0" bottom="0" percent="0" rank="0" text="" dxfId="0">
      <formula>AND(ISNUMBER(D106),ISNUMBER(E106),D106&gt;E106)</formula>
    </cfRule>
  </conditionalFormatting>
  <conditionalFormatting sqref="F106">
    <cfRule type="expression" priority="111" aboveAverage="0" equalAverage="0" bottom="0" percent="0" rank="0" text="" dxfId="0">
      <formula>AND(ISNUMBER(F106),ISNUMBER(G106),F106&gt;G106)</formula>
    </cfRule>
  </conditionalFormatting>
  <conditionalFormatting sqref="H106">
    <cfRule type="expression" priority="112" aboveAverage="0" equalAverage="0" bottom="0" percent="0" rank="0" text="" dxfId="0">
      <formula>AND(ISNUMBER(H106),ISNUMBER(I106),H106&gt;I106)</formula>
    </cfRule>
  </conditionalFormatting>
  <conditionalFormatting sqref="D107">
    <cfRule type="expression" priority="113" aboveAverage="0" equalAverage="0" bottom="0" percent="0" rank="0" text="" dxfId="0">
      <formula>AND(ISNUMBER(D107),ISNUMBER(E107),D107&gt;E107)</formula>
    </cfRule>
  </conditionalFormatting>
  <conditionalFormatting sqref="F107">
    <cfRule type="expression" priority="114" aboveAverage="0" equalAverage="0" bottom="0" percent="0" rank="0" text="" dxfId="0">
      <formula>AND(ISNUMBER(F107),ISNUMBER(G107),F107&gt;G107)</formula>
    </cfRule>
  </conditionalFormatting>
  <conditionalFormatting sqref="H107">
    <cfRule type="expression" priority="115" aboveAverage="0" equalAverage="0" bottom="0" percent="0" rank="0" text="" dxfId="0">
      <formula>AND(ISNUMBER(H107),ISNUMBER(I107),H107&gt;I107)</formula>
    </cfRule>
  </conditionalFormatting>
  <conditionalFormatting sqref="D108">
    <cfRule type="expression" priority="116" aboveAverage="0" equalAverage="0" bottom="0" percent="0" rank="0" text="" dxfId="0">
      <formula>AND(ISNUMBER(D108),ISNUMBER(E108),D108&gt;E108)</formula>
    </cfRule>
  </conditionalFormatting>
  <conditionalFormatting sqref="F108">
    <cfRule type="expression" priority="117" aboveAverage="0" equalAverage="0" bottom="0" percent="0" rank="0" text="" dxfId="0">
      <formula>AND(ISNUMBER(F108),ISNUMBER(G108),F108&gt;G108)</formula>
    </cfRule>
  </conditionalFormatting>
  <conditionalFormatting sqref="H108">
    <cfRule type="expression" priority="118" aboveAverage="0" equalAverage="0" bottom="0" percent="0" rank="0" text="" dxfId="0">
      <formula>AND(ISNUMBER(H108),ISNUMBER(I108),H108&gt;I108)</formula>
    </cfRule>
  </conditionalFormatting>
  <conditionalFormatting sqref="D109">
    <cfRule type="expression" priority="119" aboveAverage="0" equalAverage="0" bottom="0" percent="0" rank="0" text="" dxfId="0">
      <formula>AND(ISNUMBER(D109),ISNUMBER(E109),D109&gt;E109)</formula>
    </cfRule>
  </conditionalFormatting>
  <conditionalFormatting sqref="F109">
    <cfRule type="expression" priority="120" aboveAverage="0" equalAverage="0" bottom="0" percent="0" rank="0" text="" dxfId="0">
      <formula>AND(ISNUMBER(F109),ISNUMBER(G109),F109&gt;G109)</formula>
    </cfRule>
  </conditionalFormatting>
  <conditionalFormatting sqref="H109">
    <cfRule type="expression" priority="121" aboveAverage="0" equalAverage="0" bottom="0" percent="0" rank="0" text="" dxfId="0">
      <formula>AND(ISNUMBER(H109),ISNUMBER(I109),H109&gt;I109)</formula>
    </cfRule>
  </conditionalFormatting>
  <conditionalFormatting sqref="B6:C8">
    <cfRule type="expression" priority="122" aboveAverage="0" equalAverage="0" bottom="0" percent="0" rank="0" text="" dxfId="1">
      <formula>$B$8="Green"</formula>
    </cfRule>
    <cfRule type="expression" priority="123" aboveAverage="0" equalAverage="0" bottom="0" percent="0" rank="0" text="" dxfId="2">
      <formula>$B$8="Amber"</formula>
    </cfRule>
    <cfRule type="expression" priority="124" aboveAverage="0" equalAverage="0" bottom="0" percent="0" rank="0" text="" dxfId="0">
      <formula>$B$8="Red"</formula>
    </cfRule>
    <cfRule type="expression" priority="125" aboveAverage="0" equalAverage="0" bottom="0" percent="0" rank="0" text="" dxfId="3">
      <formula>$B$8="N/A"</formula>
    </cfRule>
  </conditionalFormatting>
  <conditionalFormatting sqref="B10:C12">
    <cfRule type="expression" priority="126" aboveAverage="0" equalAverage="0" bottom="0" percent="0" rank="0" text="" dxfId="1">
      <formula>$B$12="Green"</formula>
    </cfRule>
    <cfRule type="expression" priority="127" aboveAverage="0" equalAverage="0" bottom="0" percent="0" rank="0" text="" dxfId="2">
      <formula>$B$12="Amber"</formula>
    </cfRule>
    <cfRule type="expression" priority="128" aboveAverage="0" equalAverage="0" bottom="0" percent="0" rank="0" text="" dxfId="0">
      <formula>$B$12="Red"</formula>
    </cfRule>
    <cfRule type="expression" priority="129" aboveAverage="0" equalAverage="0" bottom="0" percent="0" rank="0" text="" dxfId="3">
      <formula>$B$12="N/A"</formula>
    </cfRule>
  </conditionalFormatting>
  <conditionalFormatting sqref="D6:E8">
    <cfRule type="expression" priority="130" aboveAverage="0" equalAverage="0" bottom="0" percent="0" rank="0" text="" dxfId="1">
      <formula>$D$8="Green"</formula>
    </cfRule>
    <cfRule type="expression" priority="131" aboveAverage="0" equalAverage="0" bottom="0" percent="0" rank="0" text="" dxfId="2">
      <formula>$D$8="Amber"</formula>
    </cfRule>
    <cfRule type="expression" priority="132" aboveAverage="0" equalAverage="0" bottom="0" percent="0" rank="0" text="" dxfId="0">
      <formula>$D$8="Red"</formula>
    </cfRule>
    <cfRule type="expression" priority="133" aboveAverage="0" equalAverage="0" bottom="0" percent="0" rank="0" text="" dxfId="3">
      <formula>$D$8="N/A"</formula>
    </cfRule>
  </conditionalFormatting>
  <conditionalFormatting sqref="D10:E12">
    <cfRule type="expression" priority="134" aboveAverage="0" equalAverage="0" bottom="0" percent="0" rank="0" text="" dxfId="1">
      <formula>$D$12="Green"</formula>
    </cfRule>
    <cfRule type="expression" priority="135" aboveAverage="0" equalAverage="0" bottom="0" percent="0" rank="0" text="" dxfId="2">
      <formula>$D$12="Amber"</formula>
    </cfRule>
    <cfRule type="expression" priority="136" aboveAverage="0" equalAverage="0" bottom="0" percent="0" rank="0" text="" dxfId="0">
      <formula>$D$12="Red"</formula>
    </cfRule>
    <cfRule type="expression" priority="137" aboveAverage="0" equalAverage="0" bottom="0" percent="0" rank="0" text="" dxfId="3">
      <formula>$D$12="N/A"</formula>
    </cfRule>
  </conditionalFormatting>
  <conditionalFormatting sqref="F6:G8">
    <cfRule type="expression" priority="138" aboveAverage="0" equalAverage="0" bottom="0" percent="0" rank="0" text="" dxfId="1">
      <formula>$F$8="Green"</formula>
    </cfRule>
    <cfRule type="expression" priority="139" aboveAverage="0" equalAverage="0" bottom="0" percent="0" rank="0" text="" dxfId="2">
      <formula>$F$8="Amber"</formula>
    </cfRule>
    <cfRule type="expression" priority="140" aboveAverage="0" equalAverage="0" bottom="0" percent="0" rank="0" text="" dxfId="0">
      <formula>$F$8="Red"</formula>
    </cfRule>
    <cfRule type="expression" priority="141" aboveAverage="0" equalAverage="0" bottom="0" percent="0" rank="0" text="" dxfId="3">
      <formula>$F$8="N/A"</formula>
    </cfRule>
  </conditionalFormatting>
  <conditionalFormatting sqref="F10:G12">
    <cfRule type="expression" priority="142" aboveAverage="0" equalAverage="0" bottom="0" percent="0" rank="0" text="" dxfId="1">
      <formula>$F$12="Green"</formula>
    </cfRule>
    <cfRule type="expression" priority="143" aboveAverage="0" equalAverage="0" bottom="0" percent="0" rank="0" text="" dxfId="2">
      <formula>$F$12="Amber"</formula>
    </cfRule>
    <cfRule type="expression" priority="144" aboveAverage="0" equalAverage="0" bottom="0" percent="0" rank="0" text="" dxfId="0">
      <formula>$F$12="Red"</formula>
    </cfRule>
    <cfRule type="expression" priority="145" aboveAverage="0" equalAverage="0" bottom="0" percent="0" rank="0" text="" dxfId="3">
      <formula>$F$12="N/A"</formula>
    </cfRule>
  </conditionalFormatting>
  <conditionalFormatting sqref="H6:I8">
    <cfRule type="expression" priority="146" aboveAverage="0" equalAverage="0" bottom="0" percent="0" rank="0" text="" dxfId="1">
      <formula>$H$8="Green"</formula>
    </cfRule>
    <cfRule type="expression" priority="147" aboveAverage="0" equalAverage="0" bottom="0" percent="0" rank="0" text="" dxfId="2">
      <formula>$H$8="Amber"</formula>
    </cfRule>
    <cfRule type="expression" priority="148" aboveAverage="0" equalAverage="0" bottom="0" percent="0" rank="0" text="" dxfId="0">
      <formula>$H$8="Red"</formula>
    </cfRule>
    <cfRule type="expression" priority="149" aboveAverage="0" equalAverage="0" bottom="0" percent="0" rank="0" text="" dxfId="3">
      <formula>$H$8="N/A"</formula>
    </cfRule>
  </conditionalFormatting>
  <conditionalFormatting sqref="H10:I12">
    <cfRule type="expression" priority="150" aboveAverage="0" equalAverage="0" bottom="0" percent="0" rank="0" text="" dxfId="1">
      <formula>$H$12="Green"</formula>
    </cfRule>
    <cfRule type="expression" priority="151" aboveAverage="0" equalAverage="0" bottom="0" percent="0" rank="0" text="" dxfId="2">
      <formula>$H$12="Amber"</formula>
    </cfRule>
    <cfRule type="expression" priority="152" aboveAverage="0" equalAverage="0" bottom="0" percent="0" rank="0" text="" dxfId="0">
      <formula>$H$12="Red"</formula>
    </cfRule>
    <cfRule type="expression" priority="153" aboveAverage="0" equalAverage="0" bottom="0" percent="0" rank="0" text="" dxfId="3">
      <formula>$H$12="N/A"</formula>
    </cfRule>
  </conditionalFormatting>
  <conditionalFormatting sqref="J6:K8">
    <cfRule type="expression" priority="154" aboveAverage="0" equalAverage="0" bottom="0" percent="0" rank="0" text="" dxfId="1">
      <formula>$J$8="Green"</formula>
    </cfRule>
    <cfRule type="expression" priority="155" aboveAverage="0" equalAverage="0" bottom="0" percent="0" rank="0" text="" dxfId="2">
      <formula>$J$8="Amber"</formula>
    </cfRule>
    <cfRule type="expression" priority="156" aboveAverage="0" equalAverage="0" bottom="0" percent="0" rank="0" text="" dxfId="0">
      <formula>$J$8="Red"</formula>
    </cfRule>
    <cfRule type="expression" priority="157" aboveAverage="0" equalAverage="0" bottom="0" percent="0" rank="0" text="" dxfId="3">
      <formula>$J$8="N/A"</formula>
    </cfRule>
  </conditionalFormatting>
  <conditionalFormatting sqref="J10:K12">
    <cfRule type="expression" priority="158" aboveAverage="0" equalAverage="0" bottom="0" percent="0" rank="0" text="" dxfId="1">
      <formula>$J$12="Green"</formula>
    </cfRule>
    <cfRule type="expression" priority="159" aboveAverage="0" equalAverage="0" bottom="0" percent="0" rank="0" text="" dxfId="2">
      <formula>$J$12="Amber"</formula>
    </cfRule>
    <cfRule type="expression" priority="160" aboveAverage="0" equalAverage="0" bottom="0" percent="0" rank="0" text="" dxfId="0">
      <formula>$J$12="Red"</formula>
    </cfRule>
    <cfRule type="expression" priority="161" aboveAverage="0" equalAverage="0" bottom="0" percent="0" rank="0" text="" dxfId="3">
      <formula>$J$12="N/A"</formula>
    </cfRule>
  </conditionalFormatting>
  <conditionalFormatting sqref="L6:M8">
    <cfRule type="expression" priority="162" aboveAverage="0" equalAverage="0" bottom="0" percent="0" rank="0" text="" dxfId="1">
      <formula>$L$8="Green"</formula>
    </cfRule>
    <cfRule type="expression" priority="163" aboveAverage="0" equalAverage="0" bottom="0" percent="0" rank="0" text="" dxfId="2">
      <formula>$L$8="Amber"</formula>
    </cfRule>
    <cfRule type="expression" priority="164" aboveAverage="0" equalAverage="0" bottom="0" percent="0" rank="0" text="" dxfId="0">
      <formula>$L$8="Red"</formula>
    </cfRule>
    <cfRule type="expression" priority="165" aboveAverage="0" equalAverage="0" bottom="0" percent="0" rank="0" text="" dxfId="3">
      <formula>$L$8="N/A"</formula>
    </cfRule>
  </conditionalFormatting>
  <conditionalFormatting sqref="L10:M12">
    <cfRule type="expression" priority="166" aboveAverage="0" equalAverage="0" bottom="0" percent="0" rank="0" text="" dxfId="1">
      <formula>$L$12="Green"</formula>
    </cfRule>
    <cfRule type="expression" priority="167" aboveAverage="0" equalAverage="0" bottom="0" percent="0" rank="0" text="" dxfId="2">
      <formula>$L$12="Amber"</formula>
    </cfRule>
    <cfRule type="expression" priority="168" aboveAverage="0" equalAverage="0" bottom="0" percent="0" rank="0" text="" dxfId="0">
      <formula>$L$12="Red"</formula>
    </cfRule>
    <cfRule type="expression" priority="169" aboveAverage="0" equalAverage="0" bottom="0" percent="0" rank="0" text="" dxfId="3">
      <formula>$L$12="N/A"</formula>
    </cfRule>
  </conditionalFormatting>
  <conditionalFormatting sqref="B18:C20">
    <cfRule type="expression" priority="170" aboveAverage="0" equalAverage="0" bottom="0" percent="0" rank="0" text="" dxfId="1">
      <formula>$B$20="Green"</formula>
    </cfRule>
    <cfRule type="expression" priority="171" aboveAverage="0" equalAverage="0" bottom="0" percent="0" rank="0" text="" dxfId="2">
      <formula>$B$20="Amber"</formula>
    </cfRule>
    <cfRule type="expression" priority="172" aboveAverage="0" equalAverage="0" bottom="0" percent="0" rank="0" text="" dxfId="0">
      <formula>$B$20="Red"</formula>
    </cfRule>
    <cfRule type="expression" priority="173" aboveAverage="0" equalAverage="0" bottom="0" percent="0" rank="0" text="" dxfId="3">
      <formula>$B$20="N/A"</formula>
    </cfRule>
  </conditionalFormatting>
  <conditionalFormatting sqref="D18:E20">
    <cfRule type="expression" priority="174" aboveAverage="0" equalAverage="0" bottom="0" percent="0" rank="0" text="" dxfId="1">
      <formula>$D$20="Green"</formula>
    </cfRule>
    <cfRule type="expression" priority="175" aboveAverage="0" equalAverage="0" bottom="0" percent="0" rank="0" text="" dxfId="2">
      <formula>$D$20="Amber"</formula>
    </cfRule>
    <cfRule type="expression" priority="176" aboveAverage="0" equalAverage="0" bottom="0" percent="0" rank="0" text="" dxfId="0">
      <formula>$D$20="Red"</formula>
    </cfRule>
    <cfRule type="expression" priority="177" aboveAverage="0" equalAverage="0" bottom="0" percent="0" rank="0" text="" dxfId="3">
      <formula>$D$20="N/A"</formula>
    </cfRule>
  </conditionalFormatting>
  <conditionalFormatting sqref="F18:G20">
    <cfRule type="expression" priority="178" aboveAverage="0" equalAverage="0" bottom="0" percent="0" rank="0" text="" dxfId="1">
      <formula>$F$20="Green"</formula>
    </cfRule>
    <cfRule type="expression" priority="179" aboveAverage="0" equalAverage="0" bottom="0" percent="0" rank="0" text="" dxfId="2">
      <formula>$F$20="Amber"</formula>
    </cfRule>
    <cfRule type="expression" priority="180" aboveAverage="0" equalAverage="0" bottom="0" percent="0" rank="0" text="" dxfId="0">
      <formula>$F$20="Red"</formula>
    </cfRule>
    <cfRule type="expression" priority="181" aboveAverage="0" equalAverage="0" bottom="0" percent="0" rank="0" text="" dxfId="3">
      <formula>$F$20="N/A"</formula>
    </cfRule>
  </conditionalFormatting>
  <conditionalFormatting sqref="H18:I20">
    <cfRule type="expression" priority="182" aboveAverage="0" equalAverage="0" bottom="0" percent="0" rank="0" text="" dxfId="1">
      <formula>$H$20="Green"</formula>
    </cfRule>
    <cfRule type="expression" priority="183" aboveAverage="0" equalAverage="0" bottom="0" percent="0" rank="0" text="" dxfId="2">
      <formula>$H$20="Amber"</formula>
    </cfRule>
    <cfRule type="expression" priority="184" aboveAverage="0" equalAverage="0" bottom="0" percent="0" rank="0" text="" dxfId="0">
      <formula>$H$20="Red"</formula>
    </cfRule>
    <cfRule type="expression" priority="185" aboveAverage="0" equalAverage="0" bottom="0" percent="0" rank="0" text="" dxfId="3">
      <formula>$H$20="N/A"</formula>
    </cfRule>
  </conditionalFormatting>
  <conditionalFormatting sqref="B49">
    <cfRule type="expression" priority="186" aboveAverage="0" equalAverage="0" bottom="0" percent="0" rank="0" text="" dxfId="1">
      <formula>AND(ISNUMBER(B49),B49&gt;PBI_G)</formula>
    </cfRule>
    <cfRule type="expression" priority="187" aboveAverage="0" equalAverage="0" bottom="0" percent="0" rank="0" text="" dxfId="2">
      <formula>AND(ISNUMBER(B49),B49&lt;=PBI_G,B49&gt;=PBI_R)</formula>
    </cfRule>
    <cfRule type="expression" priority="188" aboveAverage="0" equalAverage="0" bottom="0" percent="0" rank="0" text="" dxfId="0">
      <formula>AND(ISNUMBER(B49),B49&lt;PBI_R)</formula>
    </cfRule>
    <cfRule type="expression" priority="189" aboveAverage="0" equalAverage="0" bottom="0" percent="0" rank="0" text="" dxfId="3">
      <formula>B49="N/A"</formula>
    </cfRule>
  </conditionalFormatting>
  <conditionalFormatting sqref="D49">
    <cfRule type="expression" priority="190" aboveAverage="0" equalAverage="0" bottom="0" percent="0" rank="0" text="" dxfId="1">
      <formula>AND(ISNUMBER(D49),D49&gt;PBI_G)</formula>
    </cfRule>
    <cfRule type="expression" priority="191" aboveAverage="0" equalAverage="0" bottom="0" percent="0" rank="0" text="" dxfId="2">
      <formula>AND(ISNUMBER(D49),D49&lt;=PBI_G,D49&gt;=PBI_R)</formula>
    </cfRule>
    <cfRule type="expression" priority="192" aboveAverage="0" equalAverage="0" bottom="0" percent="0" rank="0" text="" dxfId="0">
      <formula>AND(ISNUMBER(D49),D49&lt;PBI_R)</formula>
    </cfRule>
    <cfRule type="expression" priority="193" aboveAverage="0" equalAverage="0" bottom="0" percent="0" rank="0" text="" dxfId="3">
      <formula>D49="N/A"</formula>
    </cfRule>
  </conditionalFormatting>
  <conditionalFormatting sqref="F49">
    <cfRule type="expression" priority="194" aboveAverage="0" equalAverage="0" bottom="0" percent="0" rank="0" text="" dxfId="1">
      <formula>AND(ISNUMBER(F49),F49&gt;PBI_G)</formula>
    </cfRule>
    <cfRule type="expression" priority="195" aboveAverage="0" equalAverage="0" bottom="0" percent="0" rank="0" text="" dxfId="2">
      <formula>AND(ISNUMBER(F49),F49&lt;=PBI_G,F49&gt;=PBI_R)</formula>
    </cfRule>
    <cfRule type="expression" priority="196" aboveAverage="0" equalAverage="0" bottom="0" percent="0" rank="0" text="" dxfId="0">
      <formula>AND(ISNUMBER(F49),F49&lt;PBI_R)</formula>
    </cfRule>
    <cfRule type="expression" priority="197" aboveAverage="0" equalAverage="0" bottom="0" percent="0" rank="0" text="" dxfId="3">
      <formula>F49="N/A"</formula>
    </cfRule>
  </conditionalFormatting>
  <conditionalFormatting sqref="H49">
    <cfRule type="expression" priority="198" aboveAverage="0" equalAverage="0" bottom="0" percent="0" rank="0" text="" dxfId="1">
      <formula>AND(ISNUMBER(H49),H49&gt;PBI_G)</formula>
    </cfRule>
    <cfRule type="expression" priority="199" aboveAverage="0" equalAverage="0" bottom="0" percent="0" rank="0" text="" dxfId="2">
      <formula>AND(ISNUMBER(H49),H49&lt;=PBI_G,H49&gt;=PBI_R)</formula>
    </cfRule>
    <cfRule type="expression" priority="200" aboveAverage="0" equalAverage="0" bottom="0" percent="0" rank="0" text="" dxfId="0">
      <formula>AND(ISNUMBER(H49),H49&lt;PBI_R)</formula>
    </cfRule>
    <cfRule type="expression" priority="201" aboveAverage="0" equalAverage="0" bottom="0" percent="0" rank="0" text="" dxfId="3">
      <formula>H49="N/A"</formula>
    </cfRule>
  </conditionalFormatting>
  <conditionalFormatting sqref="J49">
    <cfRule type="expression" priority="202" aboveAverage="0" equalAverage="0" bottom="0" percent="0" rank="0" text="" dxfId="1">
      <formula>AND(ISNUMBER(J49),J49&gt;PBI_G)</formula>
    </cfRule>
    <cfRule type="expression" priority="203" aboveAverage="0" equalAverage="0" bottom="0" percent="0" rank="0" text="" dxfId="2">
      <formula>AND(ISNUMBER(J49),J49&lt;=PBI_G,J49&gt;=PBI_R)</formula>
    </cfRule>
    <cfRule type="expression" priority="204" aboveAverage="0" equalAverage="0" bottom="0" percent="0" rank="0" text="" dxfId="0">
      <formula>AND(ISNUMBER(J49),J49&lt;PBI_R)</formula>
    </cfRule>
    <cfRule type="expression" priority="205" aboveAverage="0" equalAverage="0" bottom="0" percent="0" rank="0" text="" dxfId="3">
      <formula>J49="N/A"</formula>
    </cfRule>
  </conditionalFormatting>
  <conditionalFormatting sqref="L49">
    <cfRule type="expression" priority="206" aboveAverage="0" equalAverage="0" bottom="0" percent="0" rank="0" text="" dxfId="1">
      <formula>AND(ISNUMBER(L49),L49&gt;PBI_G)</formula>
    </cfRule>
    <cfRule type="expression" priority="207" aboveAverage="0" equalAverage="0" bottom="0" percent="0" rank="0" text="" dxfId="2">
      <formula>AND(ISNUMBER(L49),L49&lt;=PBI_G,L49&gt;=PBI_R)</formula>
    </cfRule>
    <cfRule type="expression" priority="208" aboveAverage="0" equalAverage="0" bottom="0" percent="0" rank="0" text="" dxfId="0">
      <formula>AND(ISNUMBER(L49),L49&lt;PBI_R)</formula>
    </cfRule>
    <cfRule type="expression" priority="209" aboveAverage="0" equalAverage="0" bottom="0" percent="0" rank="0" text="" dxfId="3">
      <formula>L49="N/A"</formula>
    </cfRule>
  </conditionalFormatting>
  <conditionalFormatting sqref="B50">
    <cfRule type="expression" priority="210" aboveAverage="0" equalAverage="0" bottom="0" percent="0" rank="0" text="" dxfId="1">
      <formula>AND(ISNUMBER(B50),B50&gt;PBI_G)</formula>
    </cfRule>
    <cfRule type="expression" priority="211" aboveAverage="0" equalAverage="0" bottom="0" percent="0" rank="0" text="" dxfId="2">
      <formula>AND(ISNUMBER(B50),B50&lt;=PBI_G,B50&gt;=PBI_R)</formula>
    </cfRule>
    <cfRule type="expression" priority="212" aboveAverage="0" equalAverage="0" bottom="0" percent="0" rank="0" text="" dxfId="0">
      <formula>AND(ISNUMBER(B50),B50&lt;PBI_R)</formula>
    </cfRule>
    <cfRule type="expression" priority="213" aboveAverage="0" equalAverage="0" bottom="0" percent="0" rank="0" text="" dxfId="3">
      <formula>B50="N/A"</formula>
    </cfRule>
  </conditionalFormatting>
  <conditionalFormatting sqref="D50">
    <cfRule type="expression" priority="214" aboveAverage="0" equalAverage="0" bottom="0" percent="0" rank="0" text="" dxfId="1">
      <formula>AND(ISNUMBER(D50),D50&gt;PBI_G)</formula>
    </cfRule>
    <cfRule type="expression" priority="215" aboveAverage="0" equalAverage="0" bottom="0" percent="0" rank="0" text="" dxfId="2">
      <formula>AND(ISNUMBER(D50),D50&lt;=PBI_G,D50&gt;=PBI_R)</formula>
    </cfRule>
    <cfRule type="expression" priority="216" aboveAverage="0" equalAverage="0" bottom="0" percent="0" rank="0" text="" dxfId="0">
      <formula>AND(ISNUMBER(D50),D50&lt;PBI_R)</formula>
    </cfRule>
    <cfRule type="expression" priority="217" aboveAverage="0" equalAverage="0" bottom="0" percent="0" rank="0" text="" dxfId="3">
      <formula>D50="N/A"</formula>
    </cfRule>
  </conditionalFormatting>
  <conditionalFormatting sqref="F50">
    <cfRule type="expression" priority="218" aboveAverage="0" equalAverage="0" bottom="0" percent="0" rank="0" text="" dxfId="1">
      <formula>AND(ISNUMBER(F50),F50&gt;PBI_G)</formula>
    </cfRule>
    <cfRule type="expression" priority="219" aboveAverage="0" equalAverage="0" bottom="0" percent="0" rank="0" text="" dxfId="2">
      <formula>AND(ISNUMBER(F50),F50&lt;=PBI_G,F50&gt;=PBI_R)</formula>
    </cfRule>
    <cfRule type="expression" priority="220" aboveAverage="0" equalAverage="0" bottom="0" percent="0" rank="0" text="" dxfId="0">
      <formula>AND(ISNUMBER(F50),F50&lt;PBI_R)</formula>
    </cfRule>
    <cfRule type="expression" priority="221" aboveAverage="0" equalAverage="0" bottom="0" percent="0" rank="0" text="" dxfId="3">
      <formula>F50="N/A"</formula>
    </cfRule>
  </conditionalFormatting>
  <conditionalFormatting sqref="H50">
    <cfRule type="expression" priority="222" aboveAverage="0" equalAverage="0" bottom="0" percent="0" rank="0" text="" dxfId="1">
      <formula>AND(ISNUMBER(H50),H50&gt;PBI_G)</formula>
    </cfRule>
    <cfRule type="expression" priority="223" aboveAverage="0" equalAverage="0" bottom="0" percent="0" rank="0" text="" dxfId="2">
      <formula>AND(ISNUMBER(H50),H50&lt;=PBI_G,H50&gt;=PBI_R)</formula>
    </cfRule>
    <cfRule type="expression" priority="224" aboveAverage="0" equalAverage="0" bottom="0" percent="0" rank="0" text="" dxfId="0">
      <formula>AND(ISNUMBER(H50),H50&lt;PBI_R)</formula>
    </cfRule>
    <cfRule type="expression" priority="225" aboveAverage="0" equalAverage="0" bottom="0" percent="0" rank="0" text="" dxfId="3">
      <formula>H50="N/A"</formula>
    </cfRule>
  </conditionalFormatting>
  <conditionalFormatting sqref="J50">
    <cfRule type="expression" priority="226" aboveAverage="0" equalAverage="0" bottom="0" percent="0" rank="0" text="" dxfId="1">
      <formula>AND(ISNUMBER(J50),J50&gt;PBI_G)</formula>
    </cfRule>
    <cfRule type="expression" priority="227" aboveAverage="0" equalAverage="0" bottom="0" percent="0" rank="0" text="" dxfId="2">
      <formula>AND(ISNUMBER(J50),J50&lt;=PBI_G,J50&gt;=PBI_R)</formula>
    </cfRule>
    <cfRule type="expression" priority="228" aboveAverage="0" equalAverage="0" bottom="0" percent="0" rank="0" text="" dxfId="0">
      <formula>AND(ISNUMBER(J50),J50&lt;PBI_R)</formula>
    </cfRule>
    <cfRule type="expression" priority="229" aboveAverage="0" equalAverage="0" bottom="0" percent="0" rank="0" text="" dxfId="3">
      <formula>J50="N/A"</formula>
    </cfRule>
  </conditionalFormatting>
  <conditionalFormatting sqref="L50">
    <cfRule type="expression" priority="230" aboveAverage="0" equalAverage="0" bottom="0" percent="0" rank="0" text="" dxfId="1">
      <formula>AND(ISNUMBER(L50),L50&gt;PBI_G)</formula>
    </cfRule>
    <cfRule type="expression" priority="231" aboveAverage="0" equalAverage="0" bottom="0" percent="0" rank="0" text="" dxfId="2">
      <formula>AND(ISNUMBER(L50),L50&lt;=PBI_G,L50&gt;=PBI_R)</formula>
    </cfRule>
    <cfRule type="expression" priority="232" aboveAverage="0" equalAverage="0" bottom="0" percent="0" rank="0" text="" dxfId="0">
      <formula>AND(ISNUMBER(L50),L50&lt;PBI_R)</formula>
    </cfRule>
    <cfRule type="expression" priority="233" aboveAverage="0" equalAverage="0" bottom="0" percent="0" rank="0" text="" dxfId="3">
      <formula>L50="N/A"</formula>
    </cfRule>
  </conditionalFormatting>
  <conditionalFormatting sqref="B51">
    <cfRule type="expression" priority="234" aboveAverage="0" equalAverage="0" bottom="0" percent="0" rank="0" text="" dxfId="1">
      <formula>AND(ISNUMBER(B51),B51&gt;PBI_G)</formula>
    </cfRule>
    <cfRule type="expression" priority="235" aboveAverage="0" equalAverage="0" bottom="0" percent="0" rank="0" text="" dxfId="2">
      <formula>AND(ISNUMBER(B51),B51&lt;=PBI_G,B51&gt;=PBI_R)</formula>
    </cfRule>
    <cfRule type="expression" priority="236" aboveAverage="0" equalAverage="0" bottom="0" percent="0" rank="0" text="" dxfId="0">
      <formula>AND(ISNUMBER(B51),B51&lt;PBI_R)</formula>
    </cfRule>
    <cfRule type="expression" priority="237" aboveAverage="0" equalAverage="0" bottom="0" percent="0" rank="0" text="" dxfId="3">
      <formula>B51="N/A"</formula>
    </cfRule>
  </conditionalFormatting>
  <conditionalFormatting sqref="D51">
    <cfRule type="expression" priority="238" aboveAverage="0" equalAverage="0" bottom="0" percent="0" rank="0" text="" dxfId="1">
      <formula>AND(ISNUMBER(D51),D51&gt;PBI_G)</formula>
    </cfRule>
    <cfRule type="expression" priority="239" aboveAverage="0" equalAverage="0" bottom="0" percent="0" rank="0" text="" dxfId="2">
      <formula>AND(ISNUMBER(D51),D51&lt;=PBI_G,D51&gt;=PBI_R)</formula>
    </cfRule>
    <cfRule type="expression" priority="240" aboveAverage="0" equalAverage="0" bottom="0" percent="0" rank="0" text="" dxfId="0">
      <formula>AND(ISNUMBER(D51),D51&lt;PBI_R)</formula>
    </cfRule>
    <cfRule type="expression" priority="241" aboveAverage="0" equalAverage="0" bottom="0" percent="0" rank="0" text="" dxfId="3">
      <formula>D51="N/A"</formula>
    </cfRule>
  </conditionalFormatting>
  <conditionalFormatting sqref="F51">
    <cfRule type="expression" priority="242" aboveAverage="0" equalAverage="0" bottom="0" percent="0" rank="0" text="" dxfId="1">
      <formula>AND(ISNUMBER(F51),F51&gt;PBI_G)</formula>
    </cfRule>
    <cfRule type="expression" priority="243" aboveAverage="0" equalAverage="0" bottom="0" percent="0" rank="0" text="" dxfId="2">
      <formula>AND(ISNUMBER(F51),F51&lt;=PBI_G,F51&gt;=PBI_R)</formula>
    </cfRule>
    <cfRule type="expression" priority="244" aboveAverage="0" equalAverage="0" bottom="0" percent="0" rank="0" text="" dxfId="0">
      <formula>AND(ISNUMBER(F51),F51&lt;PBI_R)</formula>
    </cfRule>
    <cfRule type="expression" priority="245" aboveAverage="0" equalAverage="0" bottom="0" percent="0" rank="0" text="" dxfId="3">
      <formula>F51="N/A"</formula>
    </cfRule>
  </conditionalFormatting>
  <conditionalFormatting sqref="H51">
    <cfRule type="expression" priority="246" aboveAverage="0" equalAverage="0" bottom="0" percent="0" rank="0" text="" dxfId="1">
      <formula>AND(ISNUMBER(H51),H51&gt;PBI_G)</formula>
    </cfRule>
    <cfRule type="expression" priority="247" aboveAverage="0" equalAverage="0" bottom="0" percent="0" rank="0" text="" dxfId="2">
      <formula>AND(ISNUMBER(H51),H51&lt;=PBI_G,H51&gt;=PBI_R)</formula>
    </cfRule>
    <cfRule type="expression" priority="248" aboveAverage="0" equalAverage="0" bottom="0" percent="0" rank="0" text="" dxfId="0">
      <formula>AND(ISNUMBER(H51),H51&lt;PBI_R)</formula>
    </cfRule>
    <cfRule type="expression" priority="249" aboveAverage="0" equalAverage="0" bottom="0" percent="0" rank="0" text="" dxfId="3">
      <formula>H51="N/A"</formula>
    </cfRule>
  </conditionalFormatting>
  <conditionalFormatting sqref="J51">
    <cfRule type="expression" priority="250" aboveAverage="0" equalAverage="0" bottom="0" percent="0" rank="0" text="" dxfId="1">
      <formula>AND(ISNUMBER(J51),J51&gt;PBI_G)</formula>
    </cfRule>
    <cfRule type="expression" priority="251" aboveAverage="0" equalAverage="0" bottom="0" percent="0" rank="0" text="" dxfId="2">
      <formula>AND(ISNUMBER(J51),J51&lt;=PBI_G,J51&gt;=PBI_R)</formula>
    </cfRule>
    <cfRule type="expression" priority="252" aboveAverage="0" equalAverage="0" bottom="0" percent="0" rank="0" text="" dxfId="0">
      <formula>AND(ISNUMBER(J51),J51&lt;PBI_R)</formula>
    </cfRule>
    <cfRule type="expression" priority="253" aboveAverage="0" equalAverage="0" bottom="0" percent="0" rank="0" text="" dxfId="3">
      <formula>J51="N/A"</formula>
    </cfRule>
  </conditionalFormatting>
  <conditionalFormatting sqref="L51">
    <cfRule type="expression" priority="254" aboveAverage="0" equalAverage="0" bottom="0" percent="0" rank="0" text="" dxfId="1">
      <formula>AND(ISNUMBER(L51),L51&gt;PBI_G)</formula>
    </cfRule>
    <cfRule type="expression" priority="255" aboveAverage="0" equalAverage="0" bottom="0" percent="0" rank="0" text="" dxfId="2">
      <formula>AND(ISNUMBER(L51),L51&lt;=PBI_G,L51&gt;=PBI_R)</formula>
    </cfRule>
    <cfRule type="expression" priority="256" aboveAverage="0" equalAverage="0" bottom="0" percent="0" rank="0" text="" dxfId="0">
      <formula>AND(ISNUMBER(L51),L51&lt;PBI_R)</formula>
    </cfRule>
    <cfRule type="expression" priority="257" aboveAverage="0" equalAverage="0" bottom="0" percent="0" rank="0" text="" dxfId="3">
      <formula>L51="N/A"</formula>
    </cfRule>
  </conditionalFormatting>
  <conditionalFormatting sqref="B52">
    <cfRule type="expression" priority="258" aboveAverage="0" equalAverage="0" bottom="0" percent="0" rank="0" text="" dxfId="1">
      <formula>AND(ISNUMBER(B52),B52&gt;PBI_G)</formula>
    </cfRule>
    <cfRule type="expression" priority="259" aboveAverage="0" equalAverage="0" bottom="0" percent="0" rank="0" text="" dxfId="2">
      <formula>AND(ISNUMBER(B52),B52&lt;=PBI_G,B52&gt;=PBI_R)</formula>
    </cfRule>
    <cfRule type="expression" priority="260" aboveAverage="0" equalAverage="0" bottom="0" percent="0" rank="0" text="" dxfId="0">
      <formula>AND(ISNUMBER(B52),B52&lt;PBI_R)</formula>
    </cfRule>
    <cfRule type="expression" priority="261" aboveAverage="0" equalAverage="0" bottom="0" percent="0" rank="0" text="" dxfId="3">
      <formula>B52="N/A"</formula>
    </cfRule>
  </conditionalFormatting>
  <conditionalFormatting sqref="D52">
    <cfRule type="expression" priority="262" aboveAverage="0" equalAverage="0" bottom="0" percent="0" rank="0" text="" dxfId="1">
      <formula>AND(ISNUMBER(D52),D52&gt;PBI_G)</formula>
    </cfRule>
    <cfRule type="expression" priority="263" aboveAverage="0" equalAverage="0" bottom="0" percent="0" rank="0" text="" dxfId="2">
      <formula>AND(ISNUMBER(D52),D52&lt;=PBI_G,D52&gt;=PBI_R)</formula>
    </cfRule>
    <cfRule type="expression" priority="264" aboveAverage="0" equalAverage="0" bottom="0" percent="0" rank="0" text="" dxfId="0">
      <formula>AND(ISNUMBER(D52),D52&lt;PBI_R)</formula>
    </cfRule>
    <cfRule type="expression" priority="265" aboveAverage="0" equalAverage="0" bottom="0" percent="0" rank="0" text="" dxfId="3">
      <formula>D52="N/A"</formula>
    </cfRule>
  </conditionalFormatting>
  <conditionalFormatting sqref="F52">
    <cfRule type="expression" priority="266" aboveAverage="0" equalAverage="0" bottom="0" percent="0" rank="0" text="" dxfId="1">
      <formula>AND(ISNUMBER(F52),F52&gt;PBI_G)</formula>
    </cfRule>
    <cfRule type="expression" priority="267" aboveAverage="0" equalAverage="0" bottom="0" percent="0" rank="0" text="" dxfId="2">
      <formula>AND(ISNUMBER(F52),F52&lt;=PBI_G,F52&gt;=PBI_R)</formula>
    </cfRule>
    <cfRule type="expression" priority="268" aboveAverage="0" equalAverage="0" bottom="0" percent="0" rank="0" text="" dxfId="0">
      <formula>AND(ISNUMBER(F52),F52&lt;PBI_R)</formula>
    </cfRule>
    <cfRule type="expression" priority="269" aboveAverage="0" equalAverage="0" bottom="0" percent="0" rank="0" text="" dxfId="3">
      <formula>F52="N/A"</formula>
    </cfRule>
  </conditionalFormatting>
  <conditionalFormatting sqref="H52">
    <cfRule type="expression" priority="270" aboveAverage="0" equalAverage="0" bottom="0" percent="0" rank="0" text="" dxfId="1">
      <formula>AND(ISNUMBER(H52),H52&gt;PBI_G)</formula>
    </cfRule>
    <cfRule type="expression" priority="271" aboveAverage="0" equalAverage="0" bottom="0" percent="0" rank="0" text="" dxfId="2">
      <formula>AND(ISNUMBER(H52),H52&lt;=PBI_G,H52&gt;=PBI_R)</formula>
    </cfRule>
    <cfRule type="expression" priority="272" aboveAverage="0" equalAverage="0" bottom="0" percent="0" rank="0" text="" dxfId="0">
      <formula>AND(ISNUMBER(H52),H52&lt;PBI_R)</formula>
    </cfRule>
    <cfRule type="expression" priority="273" aboveAverage="0" equalAverage="0" bottom="0" percent="0" rank="0" text="" dxfId="3">
      <formula>H52="N/A"</formula>
    </cfRule>
  </conditionalFormatting>
  <conditionalFormatting sqref="J52">
    <cfRule type="expression" priority="274" aboveAverage="0" equalAverage="0" bottom="0" percent="0" rank="0" text="" dxfId="1">
      <formula>AND(ISNUMBER(J52),J52&gt;PBI_G)</formula>
    </cfRule>
    <cfRule type="expression" priority="275" aboveAverage="0" equalAverage="0" bottom="0" percent="0" rank="0" text="" dxfId="2">
      <formula>AND(ISNUMBER(J52),J52&lt;=PBI_G,J52&gt;=PBI_R)</formula>
    </cfRule>
    <cfRule type="expression" priority="276" aboveAverage="0" equalAverage="0" bottom="0" percent="0" rank="0" text="" dxfId="0">
      <formula>AND(ISNUMBER(J52),J52&lt;PBI_R)</formula>
    </cfRule>
    <cfRule type="expression" priority="277" aboveAverage="0" equalAverage="0" bottom="0" percent="0" rank="0" text="" dxfId="3">
      <formula>J52="N/A"</formula>
    </cfRule>
  </conditionalFormatting>
  <conditionalFormatting sqref="L52">
    <cfRule type="expression" priority="278" aboveAverage="0" equalAverage="0" bottom="0" percent="0" rank="0" text="" dxfId="1">
      <formula>AND(ISNUMBER(L52),L52&gt;PBI_G)</formula>
    </cfRule>
    <cfRule type="expression" priority="279" aboveAverage="0" equalAverage="0" bottom="0" percent="0" rank="0" text="" dxfId="2">
      <formula>AND(ISNUMBER(L52),L52&lt;=PBI_G,L52&gt;=PBI_R)</formula>
    </cfRule>
    <cfRule type="expression" priority="280" aboveAverage="0" equalAverage="0" bottom="0" percent="0" rank="0" text="" dxfId="0">
      <formula>AND(ISNUMBER(L52),L52&lt;PBI_R)</formula>
    </cfRule>
    <cfRule type="expression" priority="281" aboveAverage="0" equalAverage="0" bottom="0" percent="0" rank="0" text="" dxfId="3">
      <formula>L52="N/A"</formula>
    </cfRule>
  </conditionalFormatting>
  <conditionalFormatting sqref="B53">
    <cfRule type="expression" priority="282" aboveAverage="0" equalAverage="0" bottom="0" percent="0" rank="0" text="" dxfId="1">
      <formula>AND(ISNUMBER(B53),B53&gt;PBI_G)</formula>
    </cfRule>
    <cfRule type="expression" priority="283" aboveAverage="0" equalAverage="0" bottom="0" percent="0" rank="0" text="" dxfId="2">
      <formula>AND(ISNUMBER(B53),B53&lt;=PBI_G,B53&gt;=PBI_R)</formula>
    </cfRule>
    <cfRule type="expression" priority="284" aboveAverage="0" equalAverage="0" bottom="0" percent="0" rank="0" text="" dxfId="0">
      <formula>AND(ISNUMBER(B53),B53&lt;PBI_R)</formula>
    </cfRule>
    <cfRule type="expression" priority="285" aboveAverage="0" equalAverage="0" bottom="0" percent="0" rank="0" text="" dxfId="3">
      <formula>B53="N/A"</formula>
    </cfRule>
  </conditionalFormatting>
  <conditionalFormatting sqref="D53">
    <cfRule type="expression" priority="286" aboveAverage="0" equalAverage="0" bottom="0" percent="0" rank="0" text="" dxfId="1">
      <formula>AND(ISNUMBER(D53),D53&gt;PBI_G)</formula>
    </cfRule>
    <cfRule type="expression" priority="287" aboveAverage="0" equalAverage="0" bottom="0" percent="0" rank="0" text="" dxfId="2">
      <formula>AND(ISNUMBER(D53),D53&lt;=PBI_G,D53&gt;=PBI_R)</formula>
    </cfRule>
    <cfRule type="expression" priority="288" aboveAverage="0" equalAverage="0" bottom="0" percent="0" rank="0" text="" dxfId="0">
      <formula>AND(ISNUMBER(D53),D53&lt;PBI_R)</formula>
    </cfRule>
    <cfRule type="expression" priority="289" aboveAverage="0" equalAverage="0" bottom="0" percent="0" rank="0" text="" dxfId="3">
      <formula>D53="N/A"</formula>
    </cfRule>
  </conditionalFormatting>
  <conditionalFormatting sqref="F53">
    <cfRule type="expression" priority="290" aboveAverage="0" equalAverage="0" bottom="0" percent="0" rank="0" text="" dxfId="1">
      <formula>AND(ISNUMBER(F53),F53&gt;PBI_G)</formula>
    </cfRule>
    <cfRule type="expression" priority="291" aboveAverage="0" equalAverage="0" bottom="0" percent="0" rank="0" text="" dxfId="2">
      <formula>AND(ISNUMBER(F53),F53&lt;=PBI_G,F53&gt;=PBI_R)</formula>
    </cfRule>
    <cfRule type="expression" priority="292" aboveAverage="0" equalAverage="0" bottom="0" percent="0" rank="0" text="" dxfId="0">
      <formula>AND(ISNUMBER(F53),F53&lt;PBI_R)</formula>
    </cfRule>
    <cfRule type="expression" priority="293" aboveAverage="0" equalAverage="0" bottom="0" percent="0" rank="0" text="" dxfId="3">
      <formula>F53="N/A"</formula>
    </cfRule>
  </conditionalFormatting>
  <conditionalFormatting sqref="H53">
    <cfRule type="expression" priority="294" aboveAverage="0" equalAverage="0" bottom="0" percent="0" rank="0" text="" dxfId="1">
      <formula>AND(ISNUMBER(H53),H53&gt;PBI_G)</formula>
    </cfRule>
    <cfRule type="expression" priority="295" aboveAverage="0" equalAverage="0" bottom="0" percent="0" rank="0" text="" dxfId="2">
      <formula>AND(ISNUMBER(H53),H53&lt;=PBI_G,H53&gt;=PBI_R)</formula>
    </cfRule>
    <cfRule type="expression" priority="296" aboveAverage="0" equalAverage="0" bottom="0" percent="0" rank="0" text="" dxfId="0">
      <formula>AND(ISNUMBER(H53),H53&lt;PBI_R)</formula>
    </cfRule>
    <cfRule type="expression" priority="297" aboveAverage="0" equalAverage="0" bottom="0" percent="0" rank="0" text="" dxfId="3">
      <formula>H53="N/A"</formula>
    </cfRule>
  </conditionalFormatting>
  <conditionalFormatting sqref="J53">
    <cfRule type="expression" priority="298" aboveAverage="0" equalAverage="0" bottom="0" percent="0" rank="0" text="" dxfId="1">
      <formula>AND(ISNUMBER(J53),J53&gt;PBI_G)</formula>
    </cfRule>
    <cfRule type="expression" priority="299" aboveAverage="0" equalAverage="0" bottom="0" percent="0" rank="0" text="" dxfId="2">
      <formula>AND(ISNUMBER(J53),J53&lt;=PBI_G,J53&gt;=PBI_R)</formula>
    </cfRule>
    <cfRule type="expression" priority="300" aboveAverage="0" equalAverage="0" bottom="0" percent="0" rank="0" text="" dxfId="0">
      <formula>AND(ISNUMBER(J53),J53&lt;PBI_R)</formula>
    </cfRule>
    <cfRule type="expression" priority="301" aboveAverage="0" equalAverage="0" bottom="0" percent="0" rank="0" text="" dxfId="3">
      <formula>J53="N/A"</formula>
    </cfRule>
  </conditionalFormatting>
  <conditionalFormatting sqref="L53">
    <cfRule type="expression" priority="302" aboveAverage="0" equalAverage="0" bottom="0" percent="0" rank="0" text="" dxfId="1">
      <formula>AND(ISNUMBER(L53),L53&gt;PBI_G)</formula>
    </cfRule>
    <cfRule type="expression" priority="303" aboveAverage="0" equalAverage="0" bottom="0" percent="0" rank="0" text="" dxfId="2">
      <formula>AND(ISNUMBER(L53),L53&lt;=PBI_G,L53&gt;=PBI_R)</formula>
    </cfRule>
    <cfRule type="expression" priority="304" aboveAverage="0" equalAverage="0" bottom="0" percent="0" rank="0" text="" dxfId="0">
      <formula>AND(ISNUMBER(L53),L53&lt;PBI_R)</formula>
    </cfRule>
    <cfRule type="expression" priority="305" aboveAverage="0" equalAverage="0" bottom="0" percent="0" rank="0" text="" dxfId="3">
      <formula>L53="N/A"</formula>
    </cfRule>
  </conditionalFormatting>
  <conditionalFormatting sqref="B54">
    <cfRule type="expression" priority="306" aboveAverage="0" equalAverage="0" bottom="0" percent="0" rank="0" text="" dxfId="1">
      <formula>AND(ISNUMBER(B54),B54&gt;PBI_G)</formula>
    </cfRule>
    <cfRule type="expression" priority="307" aboveAverage="0" equalAverage="0" bottom="0" percent="0" rank="0" text="" dxfId="2">
      <formula>AND(ISNUMBER(B54),B54&lt;=PBI_G,B54&gt;=PBI_R)</formula>
    </cfRule>
    <cfRule type="expression" priority="308" aboveAverage="0" equalAverage="0" bottom="0" percent="0" rank="0" text="" dxfId="0">
      <formula>AND(ISNUMBER(B54),B54&lt;PBI_R)</formula>
    </cfRule>
    <cfRule type="expression" priority="309" aboveAverage="0" equalAverage="0" bottom="0" percent="0" rank="0" text="" dxfId="3">
      <formula>B54="N/A"</formula>
    </cfRule>
  </conditionalFormatting>
  <conditionalFormatting sqref="D54">
    <cfRule type="expression" priority="310" aboveAverage="0" equalAverage="0" bottom="0" percent="0" rank="0" text="" dxfId="1">
      <formula>AND(ISNUMBER(D54),D54&gt;PBI_G)</formula>
    </cfRule>
    <cfRule type="expression" priority="311" aboveAverage="0" equalAverage="0" bottom="0" percent="0" rank="0" text="" dxfId="2">
      <formula>AND(ISNUMBER(D54),D54&lt;=PBI_G,D54&gt;=PBI_R)</formula>
    </cfRule>
    <cfRule type="expression" priority="312" aboveAverage="0" equalAverage="0" bottom="0" percent="0" rank="0" text="" dxfId="0">
      <formula>AND(ISNUMBER(D54),D54&lt;PBI_R)</formula>
    </cfRule>
    <cfRule type="expression" priority="313" aboveAverage="0" equalAverage="0" bottom="0" percent="0" rank="0" text="" dxfId="3">
      <formula>D54="N/A"</formula>
    </cfRule>
  </conditionalFormatting>
  <conditionalFormatting sqref="F54">
    <cfRule type="expression" priority="314" aboveAverage="0" equalAverage="0" bottom="0" percent="0" rank="0" text="" dxfId="1">
      <formula>AND(ISNUMBER(F54),F54&gt;PBI_G)</formula>
    </cfRule>
    <cfRule type="expression" priority="315" aboveAverage="0" equalAverage="0" bottom="0" percent="0" rank="0" text="" dxfId="2">
      <formula>AND(ISNUMBER(F54),F54&lt;=PBI_G,F54&gt;=PBI_R)</formula>
    </cfRule>
    <cfRule type="expression" priority="316" aboveAverage="0" equalAverage="0" bottom="0" percent="0" rank="0" text="" dxfId="0">
      <formula>AND(ISNUMBER(F54),F54&lt;PBI_R)</formula>
    </cfRule>
    <cfRule type="expression" priority="317" aboveAverage="0" equalAverage="0" bottom="0" percent="0" rank="0" text="" dxfId="3">
      <formula>F54="N/A"</formula>
    </cfRule>
  </conditionalFormatting>
  <conditionalFormatting sqref="H54">
    <cfRule type="expression" priority="318" aboveAverage="0" equalAverage="0" bottom="0" percent="0" rank="0" text="" dxfId="1">
      <formula>AND(ISNUMBER(H54),H54&gt;PBI_G)</formula>
    </cfRule>
    <cfRule type="expression" priority="319" aboveAverage="0" equalAverage="0" bottom="0" percent="0" rank="0" text="" dxfId="2">
      <formula>AND(ISNUMBER(H54),H54&lt;=PBI_G,H54&gt;=PBI_R)</formula>
    </cfRule>
    <cfRule type="expression" priority="320" aboveAverage="0" equalAverage="0" bottom="0" percent="0" rank="0" text="" dxfId="0">
      <formula>AND(ISNUMBER(H54),H54&lt;PBI_R)</formula>
    </cfRule>
    <cfRule type="expression" priority="321" aboveAverage="0" equalAverage="0" bottom="0" percent="0" rank="0" text="" dxfId="3">
      <formula>H54="N/A"</formula>
    </cfRule>
  </conditionalFormatting>
  <conditionalFormatting sqref="J54">
    <cfRule type="expression" priority="322" aboveAverage="0" equalAverage="0" bottom="0" percent="0" rank="0" text="" dxfId="1">
      <formula>AND(ISNUMBER(J54),J54&gt;PBI_G)</formula>
    </cfRule>
    <cfRule type="expression" priority="323" aboveAverage="0" equalAverage="0" bottom="0" percent="0" rank="0" text="" dxfId="2">
      <formula>AND(ISNUMBER(J54),J54&lt;=PBI_G,J54&gt;=PBI_R)</formula>
    </cfRule>
    <cfRule type="expression" priority="324" aboveAverage="0" equalAverage="0" bottom="0" percent="0" rank="0" text="" dxfId="0">
      <formula>AND(ISNUMBER(J54),J54&lt;PBI_R)</formula>
    </cfRule>
    <cfRule type="expression" priority="325" aboveAverage="0" equalAverage="0" bottom="0" percent="0" rank="0" text="" dxfId="3">
      <formula>J54="N/A"</formula>
    </cfRule>
  </conditionalFormatting>
  <conditionalFormatting sqref="L54">
    <cfRule type="expression" priority="326" aboveAverage="0" equalAverage="0" bottom="0" percent="0" rank="0" text="" dxfId="1">
      <formula>AND(ISNUMBER(L54),L54&gt;PBI_G)</formula>
    </cfRule>
    <cfRule type="expression" priority="327" aboveAverage="0" equalAverage="0" bottom="0" percent="0" rank="0" text="" dxfId="2">
      <formula>AND(ISNUMBER(L54),L54&lt;=PBI_G,L54&gt;=PBI_R)</formula>
    </cfRule>
    <cfRule type="expression" priority="328" aboveAverage="0" equalAverage="0" bottom="0" percent="0" rank="0" text="" dxfId="0">
      <formula>AND(ISNUMBER(L54),L54&lt;PBI_R)</formula>
    </cfRule>
    <cfRule type="expression" priority="329" aboveAverage="0" equalAverage="0" bottom="0" percent="0" rank="0" text="" dxfId="3">
      <formula>L54="N/A"</formula>
    </cfRule>
  </conditionalFormatting>
  <conditionalFormatting sqref="B55">
    <cfRule type="expression" priority="330" aboveAverage="0" equalAverage="0" bottom="0" percent="0" rank="0" text="" dxfId="1">
      <formula>AND(ISNUMBER(B55),B55&gt;PBI_G)</formula>
    </cfRule>
    <cfRule type="expression" priority="331" aboveAverage="0" equalAverage="0" bottom="0" percent="0" rank="0" text="" dxfId="2">
      <formula>AND(ISNUMBER(B55),B55&lt;=PBI_G,B55&gt;=PBI_R)</formula>
    </cfRule>
    <cfRule type="expression" priority="332" aboveAverage="0" equalAverage="0" bottom="0" percent="0" rank="0" text="" dxfId="0">
      <formula>AND(ISNUMBER(B55),B55&lt;PBI_R)</formula>
    </cfRule>
    <cfRule type="expression" priority="333" aboveAverage="0" equalAverage="0" bottom="0" percent="0" rank="0" text="" dxfId="3">
      <formula>B55="N/A"</formula>
    </cfRule>
  </conditionalFormatting>
  <conditionalFormatting sqref="D55">
    <cfRule type="expression" priority="334" aboveAverage="0" equalAverage="0" bottom="0" percent="0" rank="0" text="" dxfId="1">
      <formula>AND(ISNUMBER(D55),D55&gt;PBI_G)</formula>
    </cfRule>
    <cfRule type="expression" priority="335" aboveAverage="0" equalAverage="0" bottom="0" percent="0" rank="0" text="" dxfId="2">
      <formula>AND(ISNUMBER(D55),D55&lt;=PBI_G,D55&gt;=PBI_R)</formula>
    </cfRule>
    <cfRule type="expression" priority="336" aboveAverage="0" equalAverage="0" bottom="0" percent="0" rank="0" text="" dxfId="0">
      <formula>AND(ISNUMBER(D55),D55&lt;PBI_R)</formula>
    </cfRule>
    <cfRule type="expression" priority="337" aboveAverage="0" equalAverage="0" bottom="0" percent="0" rank="0" text="" dxfId="3">
      <formula>D55="N/A"</formula>
    </cfRule>
  </conditionalFormatting>
  <conditionalFormatting sqref="F55">
    <cfRule type="expression" priority="338" aboveAverage="0" equalAverage="0" bottom="0" percent="0" rank="0" text="" dxfId="1">
      <formula>AND(ISNUMBER(F55),F55&gt;PBI_G)</formula>
    </cfRule>
    <cfRule type="expression" priority="339" aboveAverage="0" equalAverage="0" bottom="0" percent="0" rank="0" text="" dxfId="2">
      <formula>AND(ISNUMBER(F55),F55&lt;=PBI_G,F55&gt;=PBI_R)</formula>
    </cfRule>
    <cfRule type="expression" priority="340" aboveAverage="0" equalAverage="0" bottom="0" percent="0" rank="0" text="" dxfId="0">
      <formula>AND(ISNUMBER(F55),F55&lt;PBI_R)</formula>
    </cfRule>
    <cfRule type="expression" priority="341" aboveAverage="0" equalAverage="0" bottom="0" percent="0" rank="0" text="" dxfId="3">
      <formula>F55="N/A"</formula>
    </cfRule>
  </conditionalFormatting>
  <conditionalFormatting sqref="H55">
    <cfRule type="expression" priority="342" aboveAverage="0" equalAverage="0" bottom="0" percent="0" rank="0" text="" dxfId="1">
      <formula>AND(ISNUMBER(H55),H55&gt;PBI_G)</formula>
    </cfRule>
    <cfRule type="expression" priority="343" aboveAverage="0" equalAverage="0" bottom="0" percent="0" rank="0" text="" dxfId="2">
      <formula>AND(ISNUMBER(H55),H55&lt;=PBI_G,H55&gt;=PBI_R)</formula>
    </cfRule>
    <cfRule type="expression" priority="344" aboveAverage="0" equalAverage="0" bottom="0" percent="0" rank="0" text="" dxfId="0">
      <formula>AND(ISNUMBER(H55),H55&lt;PBI_R)</formula>
    </cfRule>
    <cfRule type="expression" priority="345" aboveAverage="0" equalAverage="0" bottom="0" percent="0" rank="0" text="" dxfId="3">
      <formula>H55="N/A"</formula>
    </cfRule>
  </conditionalFormatting>
  <conditionalFormatting sqref="J55">
    <cfRule type="expression" priority="346" aboveAverage="0" equalAverage="0" bottom="0" percent="0" rank="0" text="" dxfId="1">
      <formula>AND(ISNUMBER(J55),J55&gt;PBI_G)</formula>
    </cfRule>
    <cfRule type="expression" priority="347" aboveAverage="0" equalAverage="0" bottom="0" percent="0" rank="0" text="" dxfId="2">
      <formula>AND(ISNUMBER(J55),J55&lt;=PBI_G,J55&gt;=PBI_R)</formula>
    </cfRule>
    <cfRule type="expression" priority="348" aboveAverage="0" equalAverage="0" bottom="0" percent="0" rank="0" text="" dxfId="0">
      <formula>AND(ISNUMBER(J55),J55&lt;PBI_R)</formula>
    </cfRule>
    <cfRule type="expression" priority="349" aboveAverage="0" equalAverage="0" bottom="0" percent="0" rank="0" text="" dxfId="3">
      <formula>J55="N/A"</formula>
    </cfRule>
  </conditionalFormatting>
  <conditionalFormatting sqref="L55">
    <cfRule type="expression" priority="350" aboveAverage="0" equalAverage="0" bottom="0" percent="0" rank="0" text="" dxfId="1">
      <formula>AND(ISNUMBER(L55),L55&gt;PBI_G)</formula>
    </cfRule>
    <cfRule type="expression" priority="351" aboveAverage="0" equalAverage="0" bottom="0" percent="0" rank="0" text="" dxfId="2">
      <formula>AND(ISNUMBER(L55),L55&lt;=PBI_G,L55&gt;=PBI_R)</formula>
    </cfRule>
    <cfRule type="expression" priority="352" aboveAverage="0" equalAverage="0" bottom="0" percent="0" rank="0" text="" dxfId="0">
      <formula>AND(ISNUMBER(L55),L55&lt;PBI_R)</formula>
    </cfRule>
    <cfRule type="expression" priority="353" aboveAverage="0" equalAverage="0" bottom="0" percent="0" rank="0" text="" dxfId="3">
      <formula>L55="N/A"</formula>
    </cfRule>
  </conditionalFormatting>
  <conditionalFormatting sqref="B56">
    <cfRule type="expression" priority="354" aboveAverage="0" equalAverage="0" bottom="0" percent="0" rank="0" text="" dxfId="1">
      <formula>AND(ISNUMBER(B56),B56&gt;PBI_G)</formula>
    </cfRule>
    <cfRule type="expression" priority="355" aboveAverage="0" equalAverage="0" bottom="0" percent="0" rank="0" text="" dxfId="2">
      <formula>AND(ISNUMBER(B56),B56&lt;=PBI_G,B56&gt;=PBI_R)</formula>
    </cfRule>
    <cfRule type="expression" priority="356" aboveAverage="0" equalAverage="0" bottom="0" percent="0" rank="0" text="" dxfId="0">
      <formula>AND(ISNUMBER(B56),B56&lt;PBI_R)</formula>
    </cfRule>
    <cfRule type="expression" priority="357" aboveAverage="0" equalAverage="0" bottom="0" percent="0" rank="0" text="" dxfId="3">
      <formula>B56="N/A"</formula>
    </cfRule>
  </conditionalFormatting>
  <conditionalFormatting sqref="D56">
    <cfRule type="expression" priority="358" aboveAverage="0" equalAverage="0" bottom="0" percent="0" rank="0" text="" dxfId="1">
      <formula>AND(ISNUMBER(D56),D56&gt;PBI_G)</formula>
    </cfRule>
    <cfRule type="expression" priority="359" aboveAverage="0" equalAverage="0" bottom="0" percent="0" rank="0" text="" dxfId="2">
      <formula>AND(ISNUMBER(D56),D56&lt;=PBI_G,D56&gt;=PBI_R)</formula>
    </cfRule>
    <cfRule type="expression" priority="360" aboveAverage="0" equalAverage="0" bottom="0" percent="0" rank="0" text="" dxfId="0">
      <formula>AND(ISNUMBER(D56),D56&lt;PBI_R)</formula>
    </cfRule>
    <cfRule type="expression" priority="361" aboveAverage="0" equalAverage="0" bottom="0" percent="0" rank="0" text="" dxfId="3">
      <formula>D56="N/A"</formula>
    </cfRule>
  </conditionalFormatting>
  <conditionalFormatting sqref="F56">
    <cfRule type="expression" priority="362" aboveAverage="0" equalAverage="0" bottom="0" percent="0" rank="0" text="" dxfId="1">
      <formula>AND(ISNUMBER(F56),F56&gt;PBI_G)</formula>
    </cfRule>
    <cfRule type="expression" priority="363" aboveAverage="0" equalAverage="0" bottom="0" percent="0" rank="0" text="" dxfId="2">
      <formula>AND(ISNUMBER(F56),F56&lt;=PBI_G,F56&gt;=PBI_R)</formula>
    </cfRule>
    <cfRule type="expression" priority="364" aboveAverage="0" equalAverage="0" bottom="0" percent="0" rank="0" text="" dxfId="0">
      <formula>AND(ISNUMBER(F56),F56&lt;PBI_R)</formula>
    </cfRule>
    <cfRule type="expression" priority="365" aboveAverage="0" equalAverage="0" bottom="0" percent="0" rank="0" text="" dxfId="3">
      <formula>F56="N/A"</formula>
    </cfRule>
  </conditionalFormatting>
  <conditionalFormatting sqref="H56">
    <cfRule type="expression" priority="366" aboveAverage="0" equalAverage="0" bottom="0" percent="0" rank="0" text="" dxfId="1">
      <formula>AND(ISNUMBER(H56),H56&gt;PBI_G)</formula>
    </cfRule>
    <cfRule type="expression" priority="367" aboveAverage="0" equalAverage="0" bottom="0" percent="0" rank="0" text="" dxfId="2">
      <formula>AND(ISNUMBER(H56),H56&lt;=PBI_G,H56&gt;=PBI_R)</formula>
    </cfRule>
    <cfRule type="expression" priority="368" aboveAverage="0" equalAverage="0" bottom="0" percent="0" rank="0" text="" dxfId="0">
      <formula>AND(ISNUMBER(H56),H56&lt;PBI_R)</formula>
    </cfRule>
    <cfRule type="expression" priority="369" aboveAverage="0" equalAverage="0" bottom="0" percent="0" rank="0" text="" dxfId="3">
      <formula>H56="N/A"</formula>
    </cfRule>
  </conditionalFormatting>
  <conditionalFormatting sqref="J56">
    <cfRule type="expression" priority="370" aboveAverage="0" equalAverage="0" bottom="0" percent="0" rank="0" text="" dxfId="1">
      <formula>AND(ISNUMBER(J56),J56&gt;PBI_G)</formula>
    </cfRule>
    <cfRule type="expression" priority="371" aboveAverage="0" equalAverage="0" bottom="0" percent="0" rank="0" text="" dxfId="2">
      <formula>AND(ISNUMBER(J56),J56&lt;=PBI_G,J56&gt;=PBI_R)</formula>
    </cfRule>
    <cfRule type="expression" priority="372" aboveAverage="0" equalAverage="0" bottom="0" percent="0" rank="0" text="" dxfId="0">
      <formula>AND(ISNUMBER(J56),J56&lt;PBI_R)</formula>
    </cfRule>
    <cfRule type="expression" priority="373" aboveAverage="0" equalAverage="0" bottom="0" percent="0" rank="0" text="" dxfId="3">
      <formula>J56="N/A"</formula>
    </cfRule>
  </conditionalFormatting>
  <conditionalFormatting sqref="L56">
    <cfRule type="expression" priority="374" aboveAverage="0" equalAverage="0" bottom="0" percent="0" rank="0" text="" dxfId="1">
      <formula>AND(ISNUMBER(L56),L56&gt;PBI_G)</formula>
    </cfRule>
    <cfRule type="expression" priority="375" aboveAverage="0" equalAverage="0" bottom="0" percent="0" rank="0" text="" dxfId="2">
      <formula>AND(ISNUMBER(L56),L56&lt;=PBI_G,L56&gt;=PBI_R)</formula>
    </cfRule>
    <cfRule type="expression" priority="376" aboveAverage="0" equalAverage="0" bottom="0" percent="0" rank="0" text="" dxfId="0">
      <formula>AND(ISNUMBER(L56),L56&lt;PBI_R)</formula>
    </cfRule>
    <cfRule type="expression" priority="377" aboveAverage="0" equalAverage="0" bottom="0" percent="0" rank="0" text="" dxfId="3">
      <formula>L56="N/A"</formula>
    </cfRule>
  </conditionalFormatting>
  <conditionalFormatting sqref="B57">
    <cfRule type="expression" priority="378" aboveAverage="0" equalAverage="0" bottom="0" percent="0" rank="0" text="" dxfId="1">
      <formula>AND(ISNUMBER(B57),B57&gt;PBI_G)</formula>
    </cfRule>
    <cfRule type="expression" priority="379" aboveAverage="0" equalAverage="0" bottom="0" percent="0" rank="0" text="" dxfId="2">
      <formula>AND(ISNUMBER(B57),B57&lt;=PBI_G,B57&gt;=PBI_R)</formula>
    </cfRule>
    <cfRule type="expression" priority="380" aboveAverage="0" equalAverage="0" bottom="0" percent="0" rank="0" text="" dxfId="0">
      <formula>AND(ISNUMBER(B57),B57&lt;PBI_R)</formula>
    </cfRule>
    <cfRule type="expression" priority="381" aboveAverage="0" equalAverage="0" bottom="0" percent="0" rank="0" text="" dxfId="3">
      <formula>B57="N/A"</formula>
    </cfRule>
  </conditionalFormatting>
  <conditionalFormatting sqref="D57">
    <cfRule type="expression" priority="382" aboveAverage="0" equalAverage="0" bottom="0" percent="0" rank="0" text="" dxfId="1">
      <formula>AND(ISNUMBER(D57),D57&gt;PBI_G)</formula>
    </cfRule>
    <cfRule type="expression" priority="383" aboveAverage="0" equalAverage="0" bottom="0" percent="0" rank="0" text="" dxfId="2">
      <formula>AND(ISNUMBER(D57),D57&lt;=PBI_G,D57&gt;=PBI_R)</formula>
    </cfRule>
    <cfRule type="expression" priority="384" aboveAverage="0" equalAverage="0" bottom="0" percent="0" rank="0" text="" dxfId="0">
      <formula>AND(ISNUMBER(D57),D57&lt;PBI_R)</formula>
    </cfRule>
    <cfRule type="expression" priority="385" aboveAverage="0" equalAverage="0" bottom="0" percent="0" rank="0" text="" dxfId="3">
      <formula>D57="N/A"</formula>
    </cfRule>
  </conditionalFormatting>
  <conditionalFormatting sqref="F57">
    <cfRule type="expression" priority="386" aboveAverage="0" equalAverage="0" bottom="0" percent="0" rank="0" text="" dxfId="1">
      <formula>AND(ISNUMBER(F57),F57&gt;PBI_G)</formula>
    </cfRule>
    <cfRule type="expression" priority="387" aboveAverage="0" equalAverage="0" bottom="0" percent="0" rank="0" text="" dxfId="2">
      <formula>AND(ISNUMBER(F57),F57&lt;=PBI_G,F57&gt;=PBI_R)</formula>
    </cfRule>
    <cfRule type="expression" priority="388" aboveAverage="0" equalAverage="0" bottom="0" percent="0" rank="0" text="" dxfId="0">
      <formula>AND(ISNUMBER(F57),F57&lt;PBI_R)</formula>
    </cfRule>
    <cfRule type="expression" priority="389" aboveAverage="0" equalAverage="0" bottom="0" percent="0" rank="0" text="" dxfId="3">
      <formula>F57="N/A"</formula>
    </cfRule>
  </conditionalFormatting>
  <conditionalFormatting sqref="H57">
    <cfRule type="expression" priority="390" aboveAverage="0" equalAverage="0" bottom="0" percent="0" rank="0" text="" dxfId="1">
      <formula>AND(ISNUMBER(H57),H57&gt;PBI_G)</formula>
    </cfRule>
    <cfRule type="expression" priority="391" aboveAverage="0" equalAverage="0" bottom="0" percent="0" rank="0" text="" dxfId="2">
      <formula>AND(ISNUMBER(H57),H57&lt;=PBI_G,H57&gt;=PBI_R)</formula>
    </cfRule>
    <cfRule type="expression" priority="392" aboveAverage="0" equalAverage="0" bottom="0" percent="0" rank="0" text="" dxfId="0">
      <formula>AND(ISNUMBER(H57),H57&lt;PBI_R)</formula>
    </cfRule>
    <cfRule type="expression" priority="393" aboveAverage="0" equalAverage="0" bottom="0" percent="0" rank="0" text="" dxfId="3">
      <formula>H57="N/A"</formula>
    </cfRule>
  </conditionalFormatting>
  <conditionalFormatting sqref="J57">
    <cfRule type="expression" priority="394" aboveAverage="0" equalAverage="0" bottom="0" percent="0" rank="0" text="" dxfId="1">
      <formula>AND(ISNUMBER(J57),J57&gt;PBI_G)</formula>
    </cfRule>
    <cfRule type="expression" priority="395" aboveAverage="0" equalAverage="0" bottom="0" percent="0" rank="0" text="" dxfId="2">
      <formula>AND(ISNUMBER(J57),J57&lt;=PBI_G,J57&gt;=PBI_R)</formula>
    </cfRule>
    <cfRule type="expression" priority="396" aboveAverage="0" equalAverage="0" bottom="0" percent="0" rank="0" text="" dxfId="0">
      <formula>AND(ISNUMBER(J57),J57&lt;PBI_R)</formula>
    </cfRule>
    <cfRule type="expression" priority="397" aboveAverage="0" equalAverage="0" bottom="0" percent="0" rank="0" text="" dxfId="3">
      <formula>J57="N/A"</formula>
    </cfRule>
  </conditionalFormatting>
  <conditionalFormatting sqref="L57">
    <cfRule type="expression" priority="398" aboveAverage="0" equalAverage="0" bottom="0" percent="0" rank="0" text="" dxfId="1">
      <formula>AND(ISNUMBER(L57),L57&gt;PBI_G)</formula>
    </cfRule>
    <cfRule type="expression" priority="399" aboveAverage="0" equalAverage="0" bottom="0" percent="0" rank="0" text="" dxfId="2">
      <formula>AND(ISNUMBER(L57),L57&lt;=PBI_G,L57&gt;=PBI_R)</formula>
    </cfRule>
    <cfRule type="expression" priority="400" aboveAverage="0" equalAverage="0" bottom="0" percent="0" rank="0" text="" dxfId="0">
      <formula>AND(ISNUMBER(L57),L57&lt;PBI_R)</formula>
    </cfRule>
    <cfRule type="expression" priority="401" aboveAverage="0" equalAverage="0" bottom="0" percent="0" rank="0" text="" dxfId="3">
      <formula>L57="N/A"</formula>
    </cfRule>
  </conditionalFormatting>
  <conditionalFormatting sqref="B60">
    <cfRule type="expression" priority="402" aboveAverage="0" equalAverage="0" bottom="0" percent="0" rank="0" text="" dxfId="1">
      <formula>AND(ISNUMBER(B60),B60&lt;=NCR_G)</formula>
    </cfRule>
    <cfRule type="expression" priority="403" aboveAverage="0" equalAverage="0" bottom="0" percent="0" rank="0" text="" dxfId="2">
      <formula>AND(ISNUMBER(B60),B60&gt;NCR_G,B60&lt;NCR_R)</formula>
    </cfRule>
    <cfRule type="expression" priority="404" aboveAverage="0" equalAverage="0" bottom="0" percent="0" rank="0" text="" dxfId="0">
      <formula>AND(ISNUMBER(B60),B60&gt;=NCR_R)</formula>
    </cfRule>
    <cfRule type="expression" priority="405" aboveAverage="0" equalAverage="0" bottom="0" percent="0" rank="0" text="" dxfId="3">
      <formula>B60="N/A"</formula>
    </cfRule>
  </conditionalFormatting>
  <conditionalFormatting sqref="D60">
    <cfRule type="expression" priority="406" aboveAverage="0" equalAverage="0" bottom="0" percent="0" rank="0" text="" dxfId="1">
      <formula>AND(ISNUMBER(D60),D60&gt;EQ_G)</formula>
    </cfRule>
    <cfRule type="expression" priority="407" aboveAverage="0" equalAverage="0" bottom="0" percent="0" rank="0" text="" dxfId="2">
      <formula>AND(ISNUMBER(D60),D60&lt;=EQ_G,D60&gt;=EQ_R)</formula>
    </cfRule>
    <cfRule type="expression" priority="408" aboveAverage="0" equalAverage="0" bottom="0" percent="0" rank="0" text="" dxfId="0">
      <formula>AND(ISNUMBER(D60),D60&lt;EQ_R)</formula>
    </cfRule>
    <cfRule type="expression" priority="409" aboveAverage="0" equalAverage="0" bottom="0" percent="0" rank="0" text="" dxfId="3">
      <formula>D60="N/A"</formula>
    </cfRule>
  </conditionalFormatting>
  <conditionalFormatting sqref="F60">
    <cfRule type="expression" priority="410" aboveAverage="0" equalAverage="0" bottom="0" percent="0" rank="0" text="" dxfId="1">
      <formula>AND(ISNUMBER(F60),F60&gt;INSP_G)</formula>
    </cfRule>
    <cfRule type="expression" priority="411" aboveAverage="0" equalAverage="0" bottom="0" percent="0" rank="0" text="" dxfId="2">
      <formula>AND(ISNUMBER(F60),F60&lt;=INSP_G,F60&gt;=INSP_R)</formula>
    </cfRule>
    <cfRule type="expression" priority="412" aboveAverage="0" equalAverage="0" bottom="0" percent="0" rank="0" text="" dxfId="0">
      <formula>AND(ISNUMBER(F60),F60&lt;INSP_R)</formula>
    </cfRule>
    <cfRule type="expression" priority="413" aboveAverage="0" equalAverage="0" bottom="0" percent="0" rank="0" text="" dxfId="3">
      <formula>F60="N/A"</formula>
    </cfRule>
  </conditionalFormatting>
  <conditionalFormatting sqref="H60">
    <cfRule type="expression" priority="414" aboveAverage="0" equalAverage="0" bottom="0" percent="0" rank="0" text="" dxfId="1">
      <formula>AND(ISNUMBER(H60),H60&gt;LTR_G)</formula>
    </cfRule>
    <cfRule type="expression" priority="415" aboveAverage="0" equalAverage="0" bottom="0" percent="0" rank="0" text="" dxfId="2">
      <formula>AND(ISNUMBER(H60),H60&lt;=LTR_G,H60&gt;=LTR_R)</formula>
    </cfRule>
    <cfRule type="expression" priority="416" aboveAverage="0" equalAverage="0" bottom="0" percent="0" rank="0" text="" dxfId="0">
      <formula>AND(ISNUMBER(H60),H60&lt;LTR_R)</formula>
    </cfRule>
    <cfRule type="expression" priority="417" aboveAverage="0" equalAverage="0" bottom="0" percent="0" rank="0" text="" dxfId="3">
      <formula>H60="N/A"</formula>
    </cfRule>
  </conditionalFormatting>
  <conditionalFormatting sqref="B61">
    <cfRule type="expression" priority="418" aboveAverage="0" equalAverage="0" bottom="0" percent="0" rank="0" text="" dxfId="1">
      <formula>AND(ISNUMBER(B61),B61&lt;=NCR_G)</formula>
    </cfRule>
    <cfRule type="expression" priority="419" aboveAverage="0" equalAverage="0" bottom="0" percent="0" rank="0" text="" dxfId="2">
      <formula>AND(ISNUMBER(B61),B61&gt;NCR_G,B61&lt;NCR_R)</formula>
    </cfRule>
    <cfRule type="expression" priority="420" aboveAverage="0" equalAverage="0" bottom="0" percent="0" rank="0" text="" dxfId="0">
      <formula>AND(ISNUMBER(B61),B61&gt;=NCR_R)</formula>
    </cfRule>
    <cfRule type="expression" priority="421" aboveAverage="0" equalAverage="0" bottom="0" percent="0" rank="0" text="" dxfId="3">
      <formula>B61="N/A"</formula>
    </cfRule>
  </conditionalFormatting>
  <conditionalFormatting sqref="D61">
    <cfRule type="expression" priority="422" aboveAverage="0" equalAverage="0" bottom="0" percent="0" rank="0" text="" dxfId="1">
      <formula>AND(ISNUMBER(D61),D61&gt;EQ_G)</formula>
    </cfRule>
    <cfRule type="expression" priority="423" aboveAverage="0" equalAverage="0" bottom="0" percent="0" rank="0" text="" dxfId="2">
      <formula>AND(ISNUMBER(D61),D61&lt;=EQ_G,D61&gt;=EQ_R)</formula>
    </cfRule>
    <cfRule type="expression" priority="424" aboveAverage="0" equalAverage="0" bottom="0" percent="0" rank="0" text="" dxfId="0">
      <formula>AND(ISNUMBER(D61),D61&lt;EQ_R)</formula>
    </cfRule>
    <cfRule type="expression" priority="425" aboveAverage="0" equalAverage="0" bottom="0" percent="0" rank="0" text="" dxfId="3">
      <formula>D61="N/A"</formula>
    </cfRule>
  </conditionalFormatting>
  <conditionalFormatting sqref="F61">
    <cfRule type="expression" priority="426" aboveAverage="0" equalAverage="0" bottom="0" percent="0" rank="0" text="" dxfId="1">
      <formula>AND(ISNUMBER(F61),F61&gt;INSP_G)</formula>
    </cfRule>
    <cfRule type="expression" priority="427" aboveAverage="0" equalAverage="0" bottom="0" percent="0" rank="0" text="" dxfId="2">
      <formula>AND(ISNUMBER(F61),F61&lt;=INSP_G,F61&gt;=INSP_R)</formula>
    </cfRule>
    <cfRule type="expression" priority="428" aboveAverage="0" equalAverage="0" bottom="0" percent="0" rank="0" text="" dxfId="0">
      <formula>AND(ISNUMBER(F61),F61&lt;INSP_R)</formula>
    </cfRule>
    <cfRule type="expression" priority="429" aboveAverage="0" equalAverage="0" bottom="0" percent="0" rank="0" text="" dxfId="3">
      <formula>F61="N/A"</formula>
    </cfRule>
  </conditionalFormatting>
  <conditionalFormatting sqref="H61">
    <cfRule type="expression" priority="430" aboveAverage="0" equalAverage="0" bottom="0" percent="0" rank="0" text="" dxfId="1">
      <formula>AND(ISNUMBER(H61),H61&gt;LTR_G)</formula>
    </cfRule>
    <cfRule type="expression" priority="431" aboveAverage="0" equalAverage="0" bottom="0" percent="0" rank="0" text="" dxfId="2">
      <formula>AND(ISNUMBER(H61),H61&lt;=LTR_G,H61&gt;=LTR_R)</formula>
    </cfRule>
    <cfRule type="expression" priority="432" aboveAverage="0" equalAverage="0" bottom="0" percent="0" rank="0" text="" dxfId="0">
      <formula>AND(ISNUMBER(H61),H61&lt;LTR_R)</formula>
    </cfRule>
    <cfRule type="expression" priority="433" aboveAverage="0" equalAverage="0" bottom="0" percent="0" rank="0" text="" dxfId="3">
      <formula>H61="N/A"</formula>
    </cfRule>
  </conditionalFormatting>
  <conditionalFormatting sqref="B62">
    <cfRule type="expression" priority="434" aboveAverage="0" equalAverage="0" bottom="0" percent="0" rank="0" text="" dxfId="1">
      <formula>AND(ISNUMBER(B62),B62&lt;=NCR_G)</formula>
    </cfRule>
    <cfRule type="expression" priority="435" aboveAverage="0" equalAverage="0" bottom="0" percent="0" rank="0" text="" dxfId="2">
      <formula>AND(ISNUMBER(B62),B62&gt;NCR_G,B62&lt;NCR_R)</formula>
    </cfRule>
    <cfRule type="expression" priority="436" aboveAverage="0" equalAverage="0" bottom="0" percent="0" rank="0" text="" dxfId="0">
      <formula>AND(ISNUMBER(B62),B62&gt;=NCR_R)</formula>
    </cfRule>
    <cfRule type="expression" priority="437" aboveAverage="0" equalAverage="0" bottom="0" percent="0" rank="0" text="" dxfId="3">
      <formula>B62="N/A"</formula>
    </cfRule>
  </conditionalFormatting>
  <conditionalFormatting sqref="D62">
    <cfRule type="expression" priority="438" aboveAverage="0" equalAverage="0" bottom="0" percent="0" rank="0" text="" dxfId="1">
      <formula>AND(ISNUMBER(D62),D62&gt;EQ_G)</formula>
    </cfRule>
    <cfRule type="expression" priority="439" aboveAverage="0" equalAverage="0" bottom="0" percent="0" rank="0" text="" dxfId="2">
      <formula>AND(ISNUMBER(D62),D62&lt;=EQ_G,D62&gt;=EQ_R)</formula>
    </cfRule>
    <cfRule type="expression" priority="440" aboveAverage="0" equalAverage="0" bottom="0" percent="0" rank="0" text="" dxfId="0">
      <formula>AND(ISNUMBER(D62),D62&lt;EQ_R)</formula>
    </cfRule>
    <cfRule type="expression" priority="441" aboveAverage="0" equalAverage="0" bottom="0" percent="0" rank="0" text="" dxfId="3">
      <formula>D62="N/A"</formula>
    </cfRule>
  </conditionalFormatting>
  <conditionalFormatting sqref="F62">
    <cfRule type="expression" priority="442" aboveAverage="0" equalAverage="0" bottom="0" percent="0" rank="0" text="" dxfId="1">
      <formula>AND(ISNUMBER(F62),F62&gt;INSP_G)</formula>
    </cfRule>
    <cfRule type="expression" priority="443" aboveAverage="0" equalAverage="0" bottom="0" percent="0" rank="0" text="" dxfId="2">
      <formula>AND(ISNUMBER(F62),F62&lt;=INSP_G,F62&gt;=INSP_R)</formula>
    </cfRule>
    <cfRule type="expression" priority="444" aboveAverage="0" equalAverage="0" bottom="0" percent="0" rank="0" text="" dxfId="0">
      <formula>AND(ISNUMBER(F62),F62&lt;INSP_R)</formula>
    </cfRule>
    <cfRule type="expression" priority="445" aboveAverage="0" equalAverage="0" bottom="0" percent="0" rank="0" text="" dxfId="3">
      <formula>F62="N/A"</formula>
    </cfRule>
  </conditionalFormatting>
  <conditionalFormatting sqref="H62">
    <cfRule type="expression" priority="446" aboveAverage="0" equalAverage="0" bottom="0" percent="0" rank="0" text="" dxfId="1">
      <formula>AND(ISNUMBER(H62),H62&gt;LTR_G)</formula>
    </cfRule>
    <cfRule type="expression" priority="447" aboveAverage="0" equalAverage="0" bottom="0" percent="0" rank="0" text="" dxfId="2">
      <formula>AND(ISNUMBER(H62),H62&lt;=LTR_G,H62&gt;=LTR_R)</formula>
    </cfRule>
    <cfRule type="expression" priority="448" aboveAverage="0" equalAverage="0" bottom="0" percent="0" rank="0" text="" dxfId="0">
      <formula>AND(ISNUMBER(H62),H62&lt;LTR_R)</formula>
    </cfRule>
    <cfRule type="expression" priority="449" aboveAverage="0" equalAverage="0" bottom="0" percent="0" rank="0" text="" dxfId="3">
      <formula>H62="N/A"</formula>
    </cfRule>
  </conditionalFormatting>
  <conditionalFormatting sqref="B63">
    <cfRule type="expression" priority="450" aboveAverage="0" equalAverage="0" bottom="0" percent="0" rank="0" text="" dxfId="1">
      <formula>AND(ISNUMBER(B63),B63&lt;=NCR_G)</formula>
    </cfRule>
    <cfRule type="expression" priority="451" aboveAverage="0" equalAverage="0" bottom="0" percent="0" rank="0" text="" dxfId="2">
      <formula>AND(ISNUMBER(B63),B63&gt;NCR_G,B63&lt;NCR_R)</formula>
    </cfRule>
    <cfRule type="expression" priority="452" aboveAverage="0" equalAverage="0" bottom="0" percent="0" rank="0" text="" dxfId="0">
      <formula>AND(ISNUMBER(B63),B63&gt;=NCR_R)</formula>
    </cfRule>
    <cfRule type="expression" priority="453" aboveAverage="0" equalAverage="0" bottom="0" percent="0" rank="0" text="" dxfId="3">
      <formula>B63="N/A"</formula>
    </cfRule>
  </conditionalFormatting>
  <conditionalFormatting sqref="D63">
    <cfRule type="expression" priority="454" aboveAverage="0" equalAverage="0" bottom="0" percent="0" rank="0" text="" dxfId="1">
      <formula>AND(ISNUMBER(D63),D63&gt;EQ_G)</formula>
    </cfRule>
    <cfRule type="expression" priority="455" aboveAverage="0" equalAverage="0" bottom="0" percent="0" rank="0" text="" dxfId="2">
      <formula>AND(ISNUMBER(D63),D63&lt;=EQ_G,D63&gt;=EQ_R)</formula>
    </cfRule>
    <cfRule type="expression" priority="456" aboveAverage="0" equalAverage="0" bottom="0" percent="0" rank="0" text="" dxfId="0">
      <formula>AND(ISNUMBER(D63),D63&lt;EQ_R)</formula>
    </cfRule>
    <cfRule type="expression" priority="457" aboveAverage="0" equalAverage="0" bottom="0" percent="0" rank="0" text="" dxfId="3">
      <formula>D63="N/A"</formula>
    </cfRule>
  </conditionalFormatting>
  <conditionalFormatting sqref="F63">
    <cfRule type="expression" priority="458" aboveAverage="0" equalAverage="0" bottom="0" percent="0" rank="0" text="" dxfId="1">
      <formula>AND(ISNUMBER(F63),F63&gt;INSP_G)</formula>
    </cfRule>
    <cfRule type="expression" priority="459" aboveAverage="0" equalAverage="0" bottom="0" percent="0" rank="0" text="" dxfId="2">
      <formula>AND(ISNUMBER(F63),F63&lt;=INSP_G,F63&gt;=INSP_R)</formula>
    </cfRule>
    <cfRule type="expression" priority="460" aboveAverage="0" equalAverage="0" bottom="0" percent="0" rank="0" text="" dxfId="0">
      <formula>AND(ISNUMBER(F63),F63&lt;INSP_R)</formula>
    </cfRule>
    <cfRule type="expression" priority="461" aboveAverage="0" equalAverage="0" bottom="0" percent="0" rank="0" text="" dxfId="3">
      <formula>F63="N/A"</formula>
    </cfRule>
  </conditionalFormatting>
  <conditionalFormatting sqref="H63">
    <cfRule type="expression" priority="462" aboveAverage="0" equalAverage="0" bottom="0" percent="0" rank="0" text="" dxfId="1">
      <formula>AND(ISNUMBER(H63),H63&gt;LTR_G)</formula>
    </cfRule>
    <cfRule type="expression" priority="463" aboveAverage="0" equalAverage="0" bottom="0" percent="0" rank="0" text="" dxfId="2">
      <formula>AND(ISNUMBER(H63),H63&lt;=LTR_G,H63&gt;=LTR_R)</formula>
    </cfRule>
    <cfRule type="expression" priority="464" aboveAverage="0" equalAverage="0" bottom="0" percent="0" rank="0" text="" dxfId="0">
      <formula>AND(ISNUMBER(H63),H63&lt;LTR_R)</formula>
    </cfRule>
    <cfRule type="expression" priority="465" aboveAverage="0" equalAverage="0" bottom="0" percent="0" rank="0" text="" dxfId="3">
      <formula>H63="N/A"</formula>
    </cfRule>
  </conditionalFormatting>
  <conditionalFormatting sqref="B64">
    <cfRule type="expression" priority="466" aboveAverage="0" equalAverage="0" bottom="0" percent="0" rank="0" text="" dxfId="1">
      <formula>AND(ISNUMBER(B64),B64&lt;=NCR_G)</formula>
    </cfRule>
    <cfRule type="expression" priority="467" aboveAverage="0" equalAverage="0" bottom="0" percent="0" rank="0" text="" dxfId="2">
      <formula>AND(ISNUMBER(B64),B64&gt;NCR_G,B64&lt;NCR_R)</formula>
    </cfRule>
    <cfRule type="expression" priority="468" aboveAverage="0" equalAverage="0" bottom="0" percent="0" rank="0" text="" dxfId="0">
      <formula>AND(ISNUMBER(B64),B64&gt;=NCR_R)</formula>
    </cfRule>
    <cfRule type="expression" priority="469" aboveAverage="0" equalAverage="0" bottom="0" percent="0" rank="0" text="" dxfId="3">
      <formula>B64="N/A"</formula>
    </cfRule>
  </conditionalFormatting>
  <conditionalFormatting sqref="D64">
    <cfRule type="expression" priority="470" aboveAverage="0" equalAverage="0" bottom="0" percent="0" rank="0" text="" dxfId="1">
      <formula>AND(ISNUMBER(D64),D64&gt;EQ_G)</formula>
    </cfRule>
    <cfRule type="expression" priority="471" aboveAverage="0" equalAverage="0" bottom="0" percent="0" rank="0" text="" dxfId="2">
      <formula>AND(ISNUMBER(D64),D64&lt;=EQ_G,D64&gt;=EQ_R)</formula>
    </cfRule>
    <cfRule type="expression" priority="472" aboveAverage="0" equalAverage="0" bottom="0" percent="0" rank="0" text="" dxfId="0">
      <formula>AND(ISNUMBER(D64),D64&lt;EQ_R)</formula>
    </cfRule>
    <cfRule type="expression" priority="473" aboveAverage="0" equalAverage="0" bottom="0" percent="0" rank="0" text="" dxfId="3">
      <formula>D64="N/A"</formula>
    </cfRule>
  </conditionalFormatting>
  <conditionalFormatting sqref="F64">
    <cfRule type="expression" priority="474" aboveAverage="0" equalAverage="0" bottom="0" percent="0" rank="0" text="" dxfId="1">
      <formula>AND(ISNUMBER(F64),F64&gt;INSP_G)</formula>
    </cfRule>
    <cfRule type="expression" priority="475" aboveAverage="0" equalAverage="0" bottom="0" percent="0" rank="0" text="" dxfId="2">
      <formula>AND(ISNUMBER(F64),F64&lt;=INSP_G,F64&gt;=INSP_R)</formula>
    </cfRule>
    <cfRule type="expression" priority="476" aboveAverage="0" equalAverage="0" bottom="0" percent="0" rank="0" text="" dxfId="0">
      <formula>AND(ISNUMBER(F64),F64&lt;INSP_R)</formula>
    </cfRule>
    <cfRule type="expression" priority="477" aboveAverage="0" equalAverage="0" bottom="0" percent="0" rank="0" text="" dxfId="3">
      <formula>F64="N/A"</formula>
    </cfRule>
  </conditionalFormatting>
  <conditionalFormatting sqref="H64">
    <cfRule type="expression" priority="478" aboveAverage="0" equalAverage="0" bottom="0" percent="0" rank="0" text="" dxfId="1">
      <formula>AND(ISNUMBER(H64),H64&gt;LTR_G)</formula>
    </cfRule>
    <cfRule type="expression" priority="479" aboveAverage="0" equalAverage="0" bottom="0" percent="0" rank="0" text="" dxfId="2">
      <formula>AND(ISNUMBER(H64),H64&lt;=LTR_G,H64&gt;=LTR_R)</formula>
    </cfRule>
    <cfRule type="expression" priority="480" aboveAverage="0" equalAverage="0" bottom="0" percent="0" rank="0" text="" dxfId="0">
      <formula>AND(ISNUMBER(H64),H64&lt;LTR_R)</formula>
    </cfRule>
    <cfRule type="expression" priority="481" aboveAverage="0" equalAverage="0" bottom="0" percent="0" rank="0" text="" dxfId="3">
      <formula>H64="N/A"</formula>
    </cfRule>
  </conditionalFormatting>
  <conditionalFormatting sqref="B65">
    <cfRule type="expression" priority="482" aboveAverage="0" equalAverage="0" bottom="0" percent="0" rank="0" text="" dxfId="1">
      <formula>AND(ISNUMBER(B65),B65&lt;=NCR_G)</formula>
    </cfRule>
    <cfRule type="expression" priority="483" aboveAverage="0" equalAverage="0" bottom="0" percent="0" rank="0" text="" dxfId="2">
      <formula>AND(ISNUMBER(B65),B65&gt;NCR_G,B65&lt;NCR_R)</formula>
    </cfRule>
    <cfRule type="expression" priority="484" aboveAverage="0" equalAverage="0" bottom="0" percent="0" rank="0" text="" dxfId="0">
      <formula>AND(ISNUMBER(B65),B65&gt;=NCR_R)</formula>
    </cfRule>
    <cfRule type="expression" priority="485" aboveAverage="0" equalAverage="0" bottom="0" percent="0" rank="0" text="" dxfId="3">
      <formula>B65="N/A"</formula>
    </cfRule>
  </conditionalFormatting>
  <conditionalFormatting sqref="D65">
    <cfRule type="expression" priority="486" aboveAverage="0" equalAverage="0" bottom="0" percent="0" rank="0" text="" dxfId="1">
      <formula>AND(ISNUMBER(D65),D65&gt;EQ_G)</formula>
    </cfRule>
    <cfRule type="expression" priority="487" aboveAverage="0" equalAverage="0" bottom="0" percent="0" rank="0" text="" dxfId="2">
      <formula>AND(ISNUMBER(D65),D65&lt;=EQ_G,D65&gt;=EQ_R)</formula>
    </cfRule>
    <cfRule type="expression" priority="488" aboveAverage="0" equalAverage="0" bottom="0" percent="0" rank="0" text="" dxfId="0">
      <formula>AND(ISNUMBER(D65),D65&lt;EQ_R)</formula>
    </cfRule>
    <cfRule type="expression" priority="489" aboveAverage="0" equalAverage="0" bottom="0" percent="0" rank="0" text="" dxfId="3">
      <formula>D65="N/A"</formula>
    </cfRule>
  </conditionalFormatting>
  <conditionalFormatting sqref="F65">
    <cfRule type="expression" priority="490" aboveAverage="0" equalAverage="0" bottom="0" percent="0" rank="0" text="" dxfId="1">
      <formula>AND(ISNUMBER(F65),F65&gt;INSP_G)</formula>
    </cfRule>
    <cfRule type="expression" priority="491" aboveAverage="0" equalAverage="0" bottom="0" percent="0" rank="0" text="" dxfId="2">
      <formula>AND(ISNUMBER(F65),F65&lt;=INSP_G,F65&gt;=INSP_R)</formula>
    </cfRule>
    <cfRule type="expression" priority="492" aboveAverage="0" equalAverage="0" bottom="0" percent="0" rank="0" text="" dxfId="0">
      <formula>AND(ISNUMBER(F65),F65&lt;INSP_R)</formula>
    </cfRule>
    <cfRule type="expression" priority="493" aboveAverage="0" equalAverage="0" bottom="0" percent="0" rank="0" text="" dxfId="3">
      <formula>F65="N/A"</formula>
    </cfRule>
  </conditionalFormatting>
  <conditionalFormatting sqref="H65">
    <cfRule type="expression" priority="494" aboveAverage="0" equalAverage="0" bottom="0" percent="0" rank="0" text="" dxfId="1">
      <formula>AND(ISNUMBER(H65),H65&gt;LTR_G)</formula>
    </cfRule>
    <cfRule type="expression" priority="495" aboveAverage="0" equalAverage="0" bottom="0" percent="0" rank="0" text="" dxfId="2">
      <formula>AND(ISNUMBER(H65),H65&lt;=LTR_G,H65&gt;=LTR_R)</formula>
    </cfRule>
    <cfRule type="expression" priority="496" aboveAverage="0" equalAverage="0" bottom="0" percent="0" rank="0" text="" dxfId="0">
      <formula>AND(ISNUMBER(H65),H65&lt;LTR_R)</formula>
    </cfRule>
    <cfRule type="expression" priority="497" aboveAverage="0" equalAverage="0" bottom="0" percent="0" rank="0" text="" dxfId="3">
      <formula>H65="N/A"</formula>
    </cfRule>
  </conditionalFormatting>
  <conditionalFormatting sqref="B66">
    <cfRule type="expression" priority="498" aboveAverage="0" equalAverage="0" bottom="0" percent="0" rank="0" text="" dxfId="1">
      <formula>AND(ISNUMBER(B66),B66&lt;=NCR_G)</formula>
    </cfRule>
    <cfRule type="expression" priority="499" aboveAverage="0" equalAverage="0" bottom="0" percent="0" rank="0" text="" dxfId="2">
      <formula>AND(ISNUMBER(B66),B66&gt;NCR_G,B66&lt;NCR_R)</formula>
    </cfRule>
    <cfRule type="expression" priority="500" aboveAverage="0" equalAverage="0" bottom="0" percent="0" rank="0" text="" dxfId="0">
      <formula>AND(ISNUMBER(B66),B66&gt;=NCR_R)</formula>
    </cfRule>
    <cfRule type="expression" priority="501" aboveAverage="0" equalAverage="0" bottom="0" percent="0" rank="0" text="" dxfId="3">
      <formula>B66="N/A"</formula>
    </cfRule>
  </conditionalFormatting>
  <conditionalFormatting sqref="D66">
    <cfRule type="expression" priority="502" aboveAverage="0" equalAverage="0" bottom="0" percent="0" rank="0" text="" dxfId="1">
      <formula>AND(ISNUMBER(D66),D66&gt;EQ_G)</formula>
    </cfRule>
    <cfRule type="expression" priority="503" aboveAverage="0" equalAverage="0" bottom="0" percent="0" rank="0" text="" dxfId="2">
      <formula>AND(ISNUMBER(D66),D66&lt;=EQ_G,D66&gt;=EQ_R)</formula>
    </cfRule>
    <cfRule type="expression" priority="504" aboveAverage="0" equalAverage="0" bottom="0" percent="0" rank="0" text="" dxfId="0">
      <formula>AND(ISNUMBER(D66),D66&lt;EQ_R)</formula>
    </cfRule>
    <cfRule type="expression" priority="505" aboveAverage="0" equalAverage="0" bottom="0" percent="0" rank="0" text="" dxfId="3">
      <formula>D66="N/A"</formula>
    </cfRule>
  </conditionalFormatting>
  <conditionalFormatting sqref="F66">
    <cfRule type="expression" priority="506" aboveAverage="0" equalAverage="0" bottom="0" percent="0" rank="0" text="" dxfId="1">
      <formula>AND(ISNUMBER(F66),F66&gt;INSP_G)</formula>
    </cfRule>
    <cfRule type="expression" priority="507" aboveAverage="0" equalAverage="0" bottom="0" percent="0" rank="0" text="" dxfId="2">
      <formula>AND(ISNUMBER(F66),F66&lt;=INSP_G,F66&gt;=INSP_R)</formula>
    </cfRule>
    <cfRule type="expression" priority="508" aboveAverage="0" equalAverage="0" bottom="0" percent="0" rank="0" text="" dxfId="0">
      <formula>AND(ISNUMBER(F66),F66&lt;INSP_R)</formula>
    </cfRule>
    <cfRule type="expression" priority="509" aboveAverage="0" equalAverage="0" bottom="0" percent="0" rank="0" text="" dxfId="3">
      <formula>F66="N/A"</formula>
    </cfRule>
  </conditionalFormatting>
  <conditionalFormatting sqref="H66">
    <cfRule type="expression" priority="510" aboveAverage="0" equalAverage="0" bottom="0" percent="0" rank="0" text="" dxfId="1">
      <formula>AND(ISNUMBER(H66),H66&gt;LTR_G)</formula>
    </cfRule>
    <cfRule type="expression" priority="511" aboveAverage="0" equalAverage="0" bottom="0" percent="0" rank="0" text="" dxfId="2">
      <formula>AND(ISNUMBER(H66),H66&lt;=LTR_G,H66&gt;=LTR_R)</formula>
    </cfRule>
    <cfRule type="expression" priority="512" aboveAverage="0" equalAverage="0" bottom="0" percent="0" rank="0" text="" dxfId="0">
      <formula>AND(ISNUMBER(H66),H66&lt;LTR_R)</formula>
    </cfRule>
    <cfRule type="expression" priority="513" aboveAverage="0" equalAverage="0" bottom="0" percent="0" rank="0" text="" dxfId="3">
      <formula>H66="N/A"</formula>
    </cfRule>
  </conditionalFormatting>
  <conditionalFormatting sqref="B67">
    <cfRule type="expression" priority="514" aboveAverage="0" equalAverage="0" bottom="0" percent="0" rank="0" text="" dxfId="1">
      <formula>AND(ISNUMBER(B67),B67&lt;=NCR_G)</formula>
    </cfRule>
    <cfRule type="expression" priority="515" aboveAverage="0" equalAverage="0" bottom="0" percent="0" rank="0" text="" dxfId="2">
      <formula>AND(ISNUMBER(B67),B67&gt;NCR_G,B67&lt;NCR_R)</formula>
    </cfRule>
    <cfRule type="expression" priority="516" aboveAverage="0" equalAverage="0" bottom="0" percent="0" rank="0" text="" dxfId="0">
      <formula>AND(ISNUMBER(B67),B67&gt;=NCR_R)</formula>
    </cfRule>
    <cfRule type="expression" priority="517" aboveAverage="0" equalAverage="0" bottom="0" percent="0" rank="0" text="" dxfId="3">
      <formula>B67="N/A"</formula>
    </cfRule>
  </conditionalFormatting>
  <conditionalFormatting sqref="D67">
    <cfRule type="expression" priority="518" aboveAverage="0" equalAverage="0" bottom="0" percent="0" rank="0" text="" dxfId="1">
      <formula>AND(ISNUMBER(D67),D67&gt;EQ_G)</formula>
    </cfRule>
    <cfRule type="expression" priority="519" aboveAverage="0" equalAverage="0" bottom="0" percent="0" rank="0" text="" dxfId="2">
      <formula>AND(ISNUMBER(D67),D67&lt;=EQ_G,D67&gt;=EQ_R)</formula>
    </cfRule>
    <cfRule type="expression" priority="520" aboveAverage="0" equalAverage="0" bottom="0" percent="0" rank="0" text="" dxfId="0">
      <formula>AND(ISNUMBER(D67),D67&lt;EQ_R)</formula>
    </cfRule>
    <cfRule type="expression" priority="521" aboveAverage="0" equalAverage="0" bottom="0" percent="0" rank="0" text="" dxfId="3">
      <formula>D67="N/A"</formula>
    </cfRule>
  </conditionalFormatting>
  <conditionalFormatting sqref="F67">
    <cfRule type="expression" priority="522" aboveAverage="0" equalAverage="0" bottom="0" percent="0" rank="0" text="" dxfId="1">
      <formula>AND(ISNUMBER(F67),F67&gt;INSP_G)</formula>
    </cfRule>
    <cfRule type="expression" priority="523" aboveAverage="0" equalAverage="0" bottom="0" percent="0" rank="0" text="" dxfId="2">
      <formula>AND(ISNUMBER(F67),F67&lt;=INSP_G,F67&gt;=INSP_R)</formula>
    </cfRule>
    <cfRule type="expression" priority="524" aboveAverage="0" equalAverage="0" bottom="0" percent="0" rank="0" text="" dxfId="0">
      <formula>AND(ISNUMBER(F67),F67&lt;INSP_R)</formula>
    </cfRule>
    <cfRule type="expression" priority="525" aboveAverage="0" equalAverage="0" bottom="0" percent="0" rank="0" text="" dxfId="3">
      <formula>F67="N/A"</formula>
    </cfRule>
  </conditionalFormatting>
  <conditionalFormatting sqref="H67">
    <cfRule type="expression" priority="526" aboveAverage="0" equalAverage="0" bottom="0" percent="0" rank="0" text="" dxfId="1">
      <formula>AND(ISNUMBER(H67),H67&gt;LTR_G)</formula>
    </cfRule>
    <cfRule type="expression" priority="527" aboveAverage="0" equalAverage="0" bottom="0" percent="0" rank="0" text="" dxfId="2">
      <formula>AND(ISNUMBER(H67),H67&lt;=LTR_G,H67&gt;=LTR_R)</formula>
    </cfRule>
    <cfRule type="expression" priority="528" aboveAverage="0" equalAverage="0" bottom="0" percent="0" rank="0" text="" dxfId="0">
      <formula>AND(ISNUMBER(H67),H67&lt;LTR_R)</formula>
    </cfRule>
    <cfRule type="expression" priority="529" aboveAverage="0" equalAverage="0" bottom="0" percent="0" rank="0" text="" dxfId="3">
      <formula>H67="N/A"</formula>
    </cfRule>
  </conditionalFormatting>
  <conditionalFormatting sqref="B68">
    <cfRule type="expression" priority="530" aboveAverage="0" equalAverage="0" bottom="0" percent="0" rank="0" text="" dxfId="1">
      <formula>AND(ISNUMBER(B68),B68&lt;=NCR_G)</formula>
    </cfRule>
    <cfRule type="expression" priority="531" aboveAverage="0" equalAverage="0" bottom="0" percent="0" rank="0" text="" dxfId="2">
      <formula>AND(ISNUMBER(B68),B68&gt;NCR_G,B68&lt;NCR_R)</formula>
    </cfRule>
    <cfRule type="expression" priority="532" aboveAverage="0" equalAverage="0" bottom="0" percent="0" rank="0" text="" dxfId="0">
      <formula>AND(ISNUMBER(B68),B68&gt;=NCR_R)</formula>
    </cfRule>
    <cfRule type="expression" priority="533" aboveAverage="0" equalAverage="0" bottom="0" percent="0" rank="0" text="" dxfId="3">
      <formula>B68="N/A"</formula>
    </cfRule>
  </conditionalFormatting>
  <conditionalFormatting sqref="D68">
    <cfRule type="expression" priority="534" aboveAverage="0" equalAverage="0" bottom="0" percent="0" rank="0" text="" dxfId="1">
      <formula>AND(ISNUMBER(D68),D68&gt;EQ_G)</formula>
    </cfRule>
    <cfRule type="expression" priority="535" aboveAverage="0" equalAverage="0" bottom="0" percent="0" rank="0" text="" dxfId="2">
      <formula>AND(ISNUMBER(D68),D68&lt;=EQ_G,D68&gt;=EQ_R)</formula>
    </cfRule>
    <cfRule type="expression" priority="536" aboveAverage="0" equalAverage="0" bottom="0" percent="0" rank="0" text="" dxfId="0">
      <formula>AND(ISNUMBER(D68),D68&lt;EQ_R)</formula>
    </cfRule>
    <cfRule type="expression" priority="537" aboveAverage="0" equalAverage="0" bottom="0" percent="0" rank="0" text="" dxfId="3">
      <formula>D68="N/A"</formula>
    </cfRule>
  </conditionalFormatting>
  <conditionalFormatting sqref="F68">
    <cfRule type="expression" priority="538" aboveAverage="0" equalAverage="0" bottom="0" percent="0" rank="0" text="" dxfId="1">
      <formula>AND(ISNUMBER(F68),F68&gt;INSP_G)</formula>
    </cfRule>
    <cfRule type="expression" priority="539" aboveAverage="0" equalAverage="0" bottom="0" percent="0" rank="0" text="" dxfId="2">
      <formula>AND(ISNUMBER(F68),F68&lt;=INSP_G,F68&gt;=INSP_R)</formula>
    </cfRule>
    <cfRule type="expression" priority="540" aboveAverage="0" equalAverage="0" bottom="0" percent="0" rank="0" text="" dxfId="0">
      <formula>AND(ISNUMBER(F68),F68&lt;INSP_R)</formula>
    </cfRule>
    <cfRule type="expression" priority="541" aboveAverage="0" equalAverage="0" bottom="0" percent="0" rank="0" text="" dxfId="3">
      <formula>F68="N/A"</formula>
    </cfRule>
  </conditionalFormatting>
  <conditionalFormatting sqref="H68">
    <cfRule type="expression" priority="542" aboveAverage="0" equalAverage="0" bottom="0" percent="0" rank="0" text="" dxfId="1">
      <formula>AND(ISNUMBER(H68),H68&gt;LTR_G)</formula>
    </cfRule>
    <cfRule type="expression" priority="543" aboveAverage="0" equalAverage="0" bottom="0" percent="0" rank="0" text="" dxfId="2">
      <formula>AND(ISNUMBER(H68),H68&lt;=LTR_G,H68&gt;=LTR_R)</formula>
    </cfRule>
    <cfRule type="expression" priority="544" aboveAverage="0" equalAverage="0" bottom="0" percent="0" rank="0" text="" dxfId="0">
      <formula>AND(ISNUMBER(H68),H68&lt;LTR_R)</formula>
    </cfRule>
    <cfRule type="expression" priority="545" aboveAverage="0" equalAverage="0" bottom="0" percent="0" rank="0" text="" dxfId="3">
      <formula>H68="N/A"</formula>
    </cfRule>
  </conditionalFormatting>
  <dataValidations count="1">
    <dataValidation allowBlank="true" error="Enter a whole number of 0 or more." errorStyle="stop" errorTitle="Whole number required" operator="greaterThanOrEqual" showDropDown="false" showErrorMessage="true" showInputMessage="false" sqref="B76:M83 B89:M96 B102:B109 D102:I109" type="whole">
      <formula1>0</formula1>
      <formula2>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7A"/>
    <pageSetUpPr fitToPage="true"/>
  </sheetPr>
  <dimension ref="A1:M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3" min="2" style="0" width="12"/>
  </cols>
  <sheetData>
    <row r="1" customFormat="false" ht="6" hidden="false" customHeight="true" outlineLevel="0" collapsed="false"/>
    <row r="2" customFormat="false" ht="31.5" hidden="false" customHeight="true" outlineLevel="0" collapsed="false">
      <c r="A2" s="1" t="s">
        <v>114</v>
      </c>
      <c r="B2" s="1"/>
      <c r="C2" s="1"/>
      <c r="D2" s="1"/>
      <c r="E2" s="1"/>
      <c r="F2" s="1"/>
      <c r="G2" s="1"/>
      <c r="H2" s="1"/>
      <c r="I2" s="17" t="str">
        <f aca="false">PeriodText</f>
        <v>Period 7 – 23/10/2026</v>
      </c>
      <c r="J2" s="17"/>
      <c r="K2" s="17"/>
      <c r="L2" s="17"/>
      <c r="M2" s="17"/>
    </row>
    <row r="3" customFormat="false" ht="15.75" hidden="false" customHeight="true" outlineLevel="0" collapsed="false">
      <c r="J3" s="52" t="str">
        <f aca="false">HYPERLINK("#'Windscale'!A70","Go to project data entry ▼")</f>
        <v>Go to project data entry ▼</v>
      </c>
      <c r="K3" s="52"/>
      <c r="L3" s="52"/>
      <c r="M3" s="52"/>
    </row>
    <row r="4" customFormat="false" ht="21.75" hidden="false" customHeight="true" outlineLevel="0" collapsed="false">
      <c r="A4" s="3" t="s">
        <v>40</v>
      </c>
      <c r="B4" s="4"/>
      <c r="C4" s="4"/>
      <c r="D4" s="4"/>
      <c r="E4" s="4"/>
      <c r="F4" s="4"/>
      <c r="G4" s="4"/>
      <c r="H4" s="4"/>
      <c r="I4" s="4"/>
      <c r="J4" s="18" t="s">
        <v>41</v>
      </c>
      <c r="K4" s="19" t="str">
        <f aca="false">"&gt;"&amp;TEXT(PBI_G,"0%")</f>
        <v>&gt;90%</v>
      </c>
      <c r="L4" s="20" t="str">
        <f aca="false">TEXT(PBI_R,"0%")&amp;" – "&amp;TEXT(PBI_G,"0%")</f>
        <v>75% – 90%</v>
      </c>
      <c r="M4" s="21" t="str">
        <f aca="false">"&lt;"&amp;TEXT(PBI_R,"0%")</f>
        <v>&lt;75%</v>
      </c>
    </row>
    <row r="5" customFormat="false" ht="33.75" hidden="false" customHeight="true" outlineLevel="0" collapsed="false">
      <c r="B5" s="14" t="s">
        <v>42</v>
      </c>
      <c r="C5" s="14"/>
      <c r="D5" s="14" t="s">
        <v>43</v>
      </c>
      <c r="E5" s="14"/>
      <c r="F5" s="14" t="s">
        <v>44</v>
      </c>
      <c r="G5" s="14"/>
      <c r="H5" s="14" t="s">
        <v>45</v>
      </c>
      <c r="I5" s="14"/>
      <c r="J5" s="14" t="s">
        <v>46</v>
      </c>
      <c r="K5" s="14"/>
      <c r="L5" s="14" t="s">
        <v>47</v>
      </c>
      <c r="M5" s="14"/>
    </row>
    <row r="6" customFormat="false" ht="21.75" hidden="false" customHeight="true" outlineLevel="0" collapsed="false">
      <c r="A6" s="22" t="str">
        <f aca="false">PrevLbl&amp;" (previous)"</f>
        <v>P6 (previous)</v>
      </c>
      <c r="B6" s="23" t="str">
        <f aca="false">IF(N(C97)=0,"N/A",N(B97)/C97)</f>
        <v>N/A</v>
      </c>
      <c r="C6" s="23"/>
      <c r="D6" s="23" t="str">
        <f aca="false">IF(N(E97)=0,"N/A",N(D97)/E97)</f>
        <v>N/A</v>
      </c>
      <c r="E6" s="23"/>
      <c r="F6" s="23" t="str">
        <f aca="false">IF(N(G97)=0,"N/A",N(F97)/G97)</f>
        <v>N/A</v>
      </c>
      <c r="G6" s="23"/>
      <c r="H6" s="23" t="str">
        <f aca="false">IF(N(I97)=0,"N/A",N(H97)/I97)</f>
        <v>N/A</v>
      </c>
      <c r="I6" s="23"/>
      <c r="J6" s="23" t="str">
        <f aca="false">IF(N(K97)=0,"N/A",N(J97)/K97)</f>
        <v>N/A</v>
      </c>
      <c r="K6" s="23"/>
      <c r="L6" s="23" t="str">
        <f aca="false">IF(N(M97)=0,"N/A",N(L97)/M97)</f>
        <v>N/A</v>
      </c>
      <c r="M6" s="23"/>
    </row>
    <row r="7" customFormat="false" ht="15" hidden="false" customHeight="true" outlineLevel="0" collapsed="false">
      <c r="B7" s="24" t="str">
        <f aca="false">IF(N(C97)=0,"",N(B97)&amp;"/"&amp;C97)</f>
        <v/>
      </c>
      <c r="C7" s="24"/>
      <c r="D7" s="24" t="str">
        <f aca="false">IF(N(E97)=0,"",N(D97)&amp;"/"&amp;E97)</f>
        <v/>
      </c>
      <c r="E7" s="24"/>
      <c r="F7" s="24" t="str">
        <f aca="false">IF(N(G97)=0,"",N(F97)&amp;"/"&amp;G97)</f>
        <v/>
      </c>
      <c r="G7" s="24"/>
      <c r="H7" s="24" t="str">
        <f aca="false">IF(N(I97)=0,"",N(H97)&amp;"/"&amp;I97)</f>
        <v/>
      </c>
      <c r="I7" s="24"/>
      <c r="J7" s="24" t="str">
        <f aca="false">IF(N(K97)=0,"",N(J97)&amp;"/"&amp;K97)</f>
        <v/>
      </c>
      <c r="K7" s="24"/>
      <c r="L7" s="24" t="str">
        <f aca="false">IF(N(M97)=0,"",N(L97)&amp;"/"&amp;M97)</f>
        <v/>
      </c>
      <c r="M7" s="24"/>
    </row>
    <row r="8" customFormat="false" ht="15" hidden="false" customHeight="true" outlineLevel="0" collapsed="false">
      <c r="B8" s="25" t="str">
        <f aca="false">IF(NOT(ISNUMBER(B6)),"N/A",IF(B6&gt;PBI_G,"Green",IF(B6&lt;PBI_R,"Red","Amber")))</f>
        <v>N/A</v>
      </c>
      <c r="C8" s="25"/>
      <c r="D8" s="25" t="str">
        <f aca="false">IF(NOT(ISNUMBER(D6)),"N/A",IF(D6&gt;PBI_G,"Green",IF(D6&lt;PBI_R,"Red","Amber")))</f>
        <v>N/A</v>
      </c>
      <c r="E8" s="25"/>
      <c r="F8" s="25" t="str">
        <f aca="false">IF(NOT(ISNUMBER(F6)),"N/A",IF(F6&gt;PBI_G,"Green",IF(F6&lt;PBI_R,"Red","Amber")))</f>
        <v>N/A</v>
      </c>
      <c r="G8" s="25"/>
      <c r="H8" s="25" t="str">
        <f aca="false">IF(NOT(ISNUMBER(H6)),"N/A",IF(H6&gt;PBI_G,"Green",IF(H6&lt;PBI_R,"Red","Amber")))</f>
        <v>N/A</v>
      </c>
      <c r="I8" s="25"/>
      <c r="J8" s="25" t="str">
        <f aca="false">IF(NOT(ISNUMBER(J6)),"N/A",IF(J6&gt;PBI_G,"Green",IF(J6&lt;PBI_R,"Red","Amber")))</f>
        <v>N/A</v>
      </c>
      <c r="K8" s="25"/>
      <c r="L8" s="25" t="str">
        <f aca="false">IF(NOT(ISNUMBER(L6)),"N/A",IF(L6&gt;PBI_G,"Green",IF(L6&lt;PBI_R,"Red","Amber")))</f>
        <v>N/A</v>
      </c>
      <c r="M8" s="25"/>
    </row>
    <row r="9" customFormat="false" ht="6" hidden="false" customHeight="true" outlineLevel="0" collapsed="false"/>
    <row r="10" customFormat="false" ht="36" hidden="false" customHeight="true" outlineLevel="0" collapsed="false">
      <c r="A10" s="26" t="str">
        <f aca="false">CurLbl&amp;" (current)"</f>
        <v>P7 (current)</v>
      </c>
      <c r="B10" s="27" t="str">
        <f aca="false">IF(N(C84)=0,"N/A",N(B84)/C84)</f>
        <v>N/A</v>
      </c>
      <c r="C10" s="27"/>
      <c r="D10" s="27" t="str">
        <f aca="false">IF(N(E84)=0,"N/A",N(D84)/E84)</f>
        <v>N/A</v>
      </c>
      <c r="E10" s="27"/>
      <c r="F10" s="27" t="str">
        <f aca="false">IF(N(G84)=0,"N/A",N(F84)/G84)</f>
        <v>N/A</v>
      </c>
      <c r="G10" s="27"/>
      <c r="H10" s="27" t="str">
        <f aca="false">IF(N(I84)=0,"N/A",N(H84)/I84)</f>
        <v>N/A</v>
      </c>
      <c r="I10" s="27"/>
      <c r="J10" s="27" t="str">
        <f aca="false">IF(N(K84)=0,"N/A",N(J84)/K84)</f>
        <v>N/A</v>
      </c>
      <c r="K10" s="27"/>
      <c r="L10" s="27" t="str">
        <f aca="false">IF(N(M84)=0,"N/A",N(L84)/M84)</f>
        <v>N/A</v>
      </c>
      <c r="M10" s="27"/>
    </row>
    <row r="11" customFormat="false" ht="15.75" hidden="false" customHeight="true" outlineLevel="0" collapsed="false">
      <c r="B11" s="24" t="str">
        <f aca="false">IF(N(C84)=0,"",N(B84)&amp;"/"&amp;C84)</f>
        <v/>
      </c>
      <c r="C11" s="24"/>
      <c r="D11" s="24" t="str">
        <f aca="false">IF(N(E84)=0,"",N(D84)&amp;"/"&amp;E84)</f>
        <v/>
      </c>
      <c r="E11" s="24"/>
      <c r="F11" s="24" t="str">
        <f aca="false">IF(N(G84)=0,"",N(F84)&amp;"/"&amp;G84)</f>
        <v/>
      </c>
      <c r="G11" s="24"/>
      <c r="H11" s="24" t="str">
        <f aca="false">IF(N(I84)=0,"",N(H84)&amp;"/"&amp;I84)</f>
        <v/>
      </c>
      <c r="I11" s="24"/>
      <c r="J11" s="24" t="str">
        <f aca="false">IF(N(K84)=0,"",N(J84)&amp;"/"&amp;K84)</f>
        <v/>
      </c>
      <c r="K11" s="24"/>
      <c r="L11" s="24" t="str">
        <f aca="false">IF(N(M84)=0,"",N(L84)&amp;"/"&amp;M84)</f>
        <v/>
      </c>
      <c r="M11" s="24"/>
    </row>
    <row r="12" customFormat="false" ht="15.75" hidden="false" customHeight="true" outlineLevel="0" collapsed="false">
      <c r="B12" s="25" t="str">
        <f aca="false">IF(NOT(ISNUMBER(B10)),"N/A",IF(B10&gt;PBI_G,"Green",IF(B10&lt;PBI_R,"Red","Amber")))</f>
        <v>N/A</v>
      </c>
      <c r="C12" s="25"/>
      <c r="D12" s="25" t="str">
        <f aca="false">IF(NOT(ISNUMBER(D10)),"N/A",IF(D10&gt;PBI_G,"Green",IF(D10&lt;PBI_R,"Red","Amber")))</f>
        <v>N/A</v>
      </c>
      <c r="E12" s="25"/>
      <c r="F12" s="25" t="str">
        <f aca="false">IF(NOT(ISNUMBER(F10)),"N/A",IF(F10&gt;PBI_G,"Green",IF(F10&lt;PBI_R,"Red","Amber")))</f>
        <v>N/A</v>
      </c>
      <c r="G12" s="25"/>
      <c r="H12" s="25" t="str">
        <f aca="false">IF(NOT(ISNUMBER(H10)),"N/A",IF(H10&gt;PBI_G,"Green",IF(H10&lt;PBI_R,"Red","Amber")))</f>
        <v>N/A</v>
      </c>
      <c r="I12" s="25"/>
      <c r="J12" s="25" t="str">
        <f aca="false">IF(NOT(ISNUMBER(J10)),"N/A",IF(J10&gt;PBI_G,"Green",IF(J10&lt;PBI_R,"Red","Amber")))</f>
        <v>N/A</v>
      </c>
      <c r="K12" s="25"/>
      <c r="L12" s="25" t="str">
        <f aca="false">IF(NOT(ISNUMBER(L10)),"N/A",IF(L10&gt;PBI_G,"Green",IF(L10&lt;PBI_R,"Red","Amber")))</f>
        <v>N/A</v>
      </c>
      <c r="M12" s="25"/>
    </row>
    <row r="13" customFormat="false" ht="15.75" hidden="false" customHeight="true" outlineLevel="0" collapsed="false">
      <c r="A13" s="28" t="s">
        <v>48</v>
      </c>
      <c r="B13" s="29" t="str">
        <f aca="false">IF(OR(NOT(ISNUMBER(B6)),NOT(ISNUMBER(B10))),"–",IF(ROUND(B10-B6,4)&gt;0,"▲ ",IF(ROUND(B10-B6,4)&lt;0,"▼ ","► "))&amp;TEXT(ABS(B10-B6)*100,"0.0")&amp;" pts vs "&amp;PrevLbl)</f>
        <v>–</v>
      </c>
      <c r="C13" s="29"/>
      <c r="D13" s="29" t="str">
        <f aca="false">IF(OR(NOT(ISNUMBER(D6)),NOT(ISNUMBER(D10))),"–",IF(ROUND(D10-D6,4)&gt;0,"▲ ",IF(ROUND(D10-D6,4)&lt;0,"▼ ","► "))&amp;TEXT(ABS(D10-D6)*100,"0.0")&amp;" pts vs "&amp;PrevLbl)</f>
        <v>–</v>
      </c>
      <c r="E13" s="29"/>
      <c r="F13" s="29" t="str">
        <f aca="false">IF(OR(NOT(ISNUMBER(F6)),NOT(ISNUMBER(F10))),"–",IF(ROUND(F10-F6,4)&gt;0,"▲ ",IF(ROUND(F10-F6,4)&lt;0,"▼ ","► "))&amp;TEXT(ABS(F10-F6)*100,"0.0")&amp;" pts vs "&amp;PrevLbl)</f>
        <v>–</v>
      </c>
      <c r="G13" s="29"/>
      <c r="H13" s="29" t="str">
        <f aca="false">IF(OR(NOT(ISNUMBER(H6)),NOT(ISNUMBER(H10))),"–",IF(ROUND(H10-H6,4)&gt;0,"▲ ",IF(ROUND(H10-H6,4)&lt;0,"▼ ","► "))&amp;TEXT(ABS(H10-H6)*100,"0.0")&amp;" pts vs "&amp;PrevLbl)</f>
        <v>–</v>
      </c>
      <c r="I13" s="29"/>
      <c r="J13" s="29" t="str">
        <f aca="false">IF(OR(NOT(ISNUMBER(J6)),NOT(ISNUMBER(J10))),"–",IF(ROUND(J10-J6,4)&gt;0,"▲ ",IF(ROUND(J10-J6,4)&lt;0,"▼ ","► "))&amp;TEXT(ABS(J10-J6)*100,"0.0")&amp;" pts vs "&amp;PrevLbl)</f>
        <v>–</v>
      </c>
      <c r="K13" s="29"/>
      <c r="L13" s="29" t="str">
        <f aca="false">IF(OR(NOT(ISNUMBER(L6)),NOT(ISNUMBER(L10))),"–",IF(ROUND(L10-L6,4)&gt;0,"▲ ",IF(ROUND(L10-L6,4)&lt;0,"▼ ","► "))&amp;TEXT(ABS(L10-L6)*100,"0.0")&amp;" pts vs "&amp;PrevLbl)</f>
        <v>–</v>
      </c>
      <c r="M13" s="29"/>
    </row>
    <row r="14" customFormat="false" ht="9.75" hidden="false" customHeight="true" outlineLevel="0" collapsed="false"/>
    <row r="15" customFormat="false" ht="21.75" hidden="false" customHeight="true" outlineLevel="0" collapsed="false">
      <c r="A15" s="3" t="s">
        <v>49</v>
      </c>
      <c r="B15" s="4"/>
      <c r="C15" s="4"/>
      <c r="D15" s="4"/>
      <c r="E15" s="4"/>
      <c r="F15" s="4"/>
      <c r="G15" s="4"/>
      <c r="H15" s="4"/>
      <c r="I15" s="4"/>
    </row>
    <row r="16" customFormat="false" ht="33.75" hidden="false" customHeight="true" outlineLevel="0" collapsed="false">
      <c r="B16" s="14" t="s">
        <v>50</v>
      </c>
      <c r="C16" s="14"/>
      <c r="D16" s="14" t="s">
        <v>51</v>
      </c>
      <c r="E16" s="14"/>
      <c r="F16" s="14" t="s">
        <v>52</v>
      </c>
      <c r="G16" s="14"/>
      <c r="H16" s="14" t="s">
        <v>53</v>
      </c>
      <c r="I16" s="14"/>
      <c r="J16" s="30" t="s">
        <v>85</v>
      </c>
      <c r="K16" s="30"/>
      <c r="L16" s="30"/>
      <c r="M16" s="30"/>
    </row>
    <row r="17" customFormat="false" ht="30" hidden="false" customHeight="true" outlineLevel="0" collapsed="false">
      <c r="B17" s="31" t="str">
        <f aca="false">"Green ≤"&amp;NCR_G&amp;" · Amber "&amp;(NCR_G+1)&amp;"–"&amp;(NCR_R-1)&amp;" · Red ≥"&amp;NCR_R</f>
        <v>Green ≤2 · Amber 3–5 · Red ≥6</v>
      </c>
      <c r="C17" s="31"/>
      <c r="D17" s="31" t="str">
        <f aca="false">"Green &gt;"&amp;TEXT(EQ_G,"0%")&amp;" · Amber "&amp;TEXT(EQ_R,"0%")&amp;"–"&amp;TEXT(EQ_G,"0%")&amp;" · Red &lt;"&amp;TEXT(EQ_R,"0%")</f>
        <v>Green &gt;80% · Amber 70%–80% · Red &lt;70%</v>
      </c>
      <c r="E17" s="31"/>
      <c r="F17" s="31" t="str">
        <f aca="false">"Green &gt;"&amp;TEXT(INSP_G,"0%")&amp;" · Amber "&amp;TEXT(INSP_R,"0%")&amp;"–"&amp;TEXT(INSP_G,"0%")&amp;" · Red &lt;"&amp;TEXT(INSP_R,"0%")</f>
        <v>Green &gt;95% · Amber 90%–95% · Red &lt;90%</v>
      </c>
      <c r="G17" s="31"/>
      <c r="H17" s="31" t="str">
        <f aca="false">"Green &gt;"&amp;TEXT(LTR_G,"0%")&amp;" · Amber "&amp;TEXT(LTR_R,"0%")&amp;"–"&amp;TEXT(LTR_G,"0%")&amp;" · Red &lt;"&amp;TEXT(LTR_R,"0%")</f>
        <v>Green &gt;95% · Amber 70%–95% · Red &lt;70%</v>
      </c>
      <c r="I17" s="31"/>
      <c r="J17" s="32"/>
      <c r="K17" s="32"/>
      <c r="L17" s="32"/>
      <c r="M17" s="32"/>
    </row>
    <row r="18" customFormat="false" ht="36" hidden="false" customHeight="true" outlineLevel="0" collapsed="false">
      <c r="A18" s="26" t="str">
        <f aca="false">CurLbl&amp;" (current)"</f>
        <v>P7 (current)</v>
      </c>
      <c r="B18" s="33" t="str">
        <f aca="false">IF(ISNUMBER(B110),B110,"N/A")</f>
        <v>N/A</v>
      </c>
      <c r="C18" s="33"/>
      <c r="D18" s="27" t="str">
        <f aca="false">IF(N(E110)=0,"N/A",N(D110)/E110)</f>
        <v>N/A</v>
      </c>
      <c r="E18" s="27"/>
      <c r="F18" s="27" t="str">
        <f aca="false">IF(N(G110)=0,"N/A",N(F110)/G110)</f>
        <v>N/A</v>
      </c>
      <c r="G18" s="27"/>
      <c r="H18" s="27" t="str">
        <f aca="false">IF(N(I110)=0,"N/A",N(H110)/I110)</f>
        <v>N/A</v>
      </c>
      <c r="I18" s="27"/>
      <c r="J18" s="32"/>
      <c r="K18" s="32"/>
      <c r="L18" s="32"/>
      <c r="M18" s="32"/>
    </row>
    <row r="19" customFormat="false" ht="15.75" hidden="false" customHeight="true" outlineLevel="0" collapsed="false">
      <c r="B19" s="24" t="str">
        <f aca="false">IF(ISNUMBER(B110),"live NCRs","")</f>
        <v/>
      </c>
      <c r="C19" s="24"/>
      <c r="D19" s="24" t="str">
        <f aca="false">IF(N(E110)=0,"",N(D110)&amp;"/"&amp;E110)</f>
        <v/>
      </c>
      <c r="E19" s="24"/>
      <c r="F19" s="24" t="str">
        <f aca="false">IF(N(G110)=0,"",N(F110)&amp;"/"&amp;G110)</f>
        <v/>
      </c>
      <c r="G19" s="24"/>
      <c r="H19" s="24" t="str">
        <f aca="false">IF(N(I110)=0,"",N(H110)&amp;"/"&amp;I110)</f>
        <v/>
      </c>
      <c r="I19" s="24"/>
      <c r="J19" s="32"/>
      <c r="K19" s="32"/>
      <c r="L19" s="32"/>
      <c r="M19" s="32"/>
    </row>
    <row r="20" customFormat="false" ht="15.75" hidden="false" customHeight="true" outlineLevel="0" collapsed="false">
      <c r="B20" s="25" t="str">
        <f aca="false">IF(NOT(ISNUMBER(B18)),"N/A",IF(B18&lt;=NCR_G,"Green",IF(B18&gt;=NCR_R,"Red","Amber")))</f>
        <v>N/A</v>
      </c>
      <c r="C20" s="25"/>
      <c r="D20" s="25" t="str">
        <f aca="false">IF(NOT(ISNUMBER(D18)),"N/A",IF(D18&gt;EQ_G,"Green",IF(D18&lt;EQ_R,"Red","Amber")))</f>
        <v>N/A</v>
      </c>
      <c r="E20" s="25"/>
      <c r="F20" s="25" t="str">
        <f aca="false">IF(NOT(ISNUMBER(F18)),"N/A",IF(F18&gt;INSP_G,"Green",IF(F18&lt;INSP_R,"Red","Amber")))</f>
        <v>N/A</v>
      </c>
      <c r="G20" s="25"/>
      <c r="H20" s="25" t="str">
        <f aca="false">IF(NOT(ISNUMBER(H18)),"N/A",IF(H18&gt;LTR_G,"Green",IF(H18&lt;LTR_R,"Red","Amber")))</f>
        <v>N/A</v>
      </c>
      <c r="I20" s="25"/>
      <c r="J20" s="32"/>
      <c r="K20" s="32"/>
      <c r="L20" s="32"/>
      <c r="M20" s="32"/>
    </row>
    <row r="21" customFormat="false" ht="9.75" hidden="false" customHeight="true" outlineLevel="0" collapsed="false">
      <c r="J21" s="32"/>
      <c r="K21" s="32"/>
      <c r="L21" s="32"/>
      <c r="M21" s="32"/>
    </row>
    <row r="22" customFormat="false" ht="21.75" hidden="false" customHeight="true" outlineLevel="0" collapsed="false">
      <c r="A22" s="3" t="s">
        <v>86</v>
      </c>
      <c r="B22" s="4"/>
      <c r="C22" s="4"/>
      <c r="D22" s="4"/>
      <c r="E22" s="4"/>
      <c r="F22" s="4"/>
      <c r="G22" s="4"/>
      <c r="H22" s="4"/>
      <c r="I22" s="4"/>
      <c r="J22" s="32"/>
      <c r="K22" s="32"/>
      <c r="L22" s="32"/>
      <c r="M22" s="32"/>
    </row>
    <row r="23" customFormat="false" ht="15" hidden="false" customHeight="true" outlineLevel="0" collapsed="false">
      <c r="A23" s="36" t="s">
        <v>25</v>
      </c>
      <c r="B23" s="14" t="s">
        <v>87</v>
      </c>
      <c r="C23" s="14"/>
      <c r="D23" s="14" t="s">
        <v>51</v>
      </c>
      <c r="E23" s="14"/>
      <c r="F23" s="14" t="s">
        <v>52</v>
      </c>
      <c r="G23" s="14"/>
      <c r="H23" s="14" t="s">
        <v>53</v>
      </c>
      <c r="I23" s="14"/>
      <c r="J23" s="32"/>
      <c r="K23" s="32"/>
      <c r="L23" s="32"/>
      <c r="M23" s="32"/>
    </row>
    <row r="24" customFormat="false" ht="31.5" hidden="false" customHeight="true" outlineLevel="0" collapsed="false">
      <c r="A24" s="46" t="s">
        <v>115</v>
      </c>
      <c r="B24" s="45"/>
      <c r="C24" s="45"/>
      <c r="D24" s="45"/>
      <c r="E24" s="45"/>
      <c r="F24" s="45"/>
      <c r="G24" s="45"/>
      <c r="H24" s="45"/>
      <c r="I24" s="45"/>
      <c r="J24" s="32"/>
      <c r="K24" s="32"/>
      <c r="L24" s="32"/>
      <c r="M24" s="32"/>
    </row>
    <row r="25" customFormat="false" ht="31.5" hidden="false" customHeight="true" outlineLevel="0" collapsed="false">
      <c r="A25" s="46" t="str">
        <f aca="false">IF($A$76="","",$A$76)</f>
        <v>Project 1</v>
      </c>
      <c r="B25" s="45"/>
      <c r="C25" s="45"/>
      <c r="D25" s="45"/>
      <c r="E25" s="45"/>
      <c r="F25" s="45"/>
      <c r="G25" s="45"/>
      <c r="H25" s="45"/>
      <c r="I25" s="45"/>
      <c r="J25" s="32"/>
      <c r="K25" s="32"/>
      <c r="L25" s="32"/>
      <c r="M25" s="32"/>
    </row>
    <row r="26" customFormat="false" ht="31.5" hidden="false" customHeight="true" outlineLevel="0" collapsed="false">
      <c r="A26" s="46" t="str">
        <f aca="false">IF($A$77="","",$A$77)</f>
        <v>Project 2</v>
      </c>
      <c r="B26" s="45"/>
      <c r="C26" s="45"/>
      <c r="D26" s="45"/>
      <c r="E26" s="45"/>
      <c r="F26" s="45"/>
      <c r="G26" s="45"/>
      <c r="H26" s="45"/>
      <c r="I26" s="45"/>
      <c r="J26" s="32"/>
      <c r="K26" s="32"/>
      <c r="L26" s="32"/>
      <c r="M26" s="32"/>
    </row>
    <row r="27" customFormat="false" ht="31.5" hidden="false" customHeight="true" outlineLevel="0" collapsed="false">
      <c r="A27" s="46" t="str">
        <f aca="false">IF($A$78="","",$A$78)</f>
        <v>Project 3</v>
      </c>
      <c r="B27" s="45"/>
      <c r="C27" s="45"/>
      <c r="D27" s="45"/>
      <c r="E27" s="45"/>
      <c r="F27" s="45"/>
      <c r="G27" s="45"/>
      <c r="H27" s="45"/>
      <c r="I27" s="45"/>
      <c r="J27" s="32"/>
      <c r="K27" s="32"/>
      <c r="L27" s="32"/>
      <c r="M27" s="32"/>
    </row>
    <row r="28" customFormat="false" ht="31.5" hidden="false" customHeight="true" outlineLevel="0" collapsed="false">
      <c r="A28" s="46" t="str">
        <f aca="false">IF($A$79="","",$A$79)</f>
        <v>Project 4</v>
      </c>
      <c r="B28" s="45"/>
      <c r="C28" s="45"/>
      <c r="D28" s="45"/>
      <c r="E28" s="45"/>
      <c r="F28" s="45"/>
      <c r="G28" s="45"/>
      <c r="H28" s="45"/>
      <c r="I28" s="45"/>
      <c r="J28" s="32"/>
      <c r="K28" s="32"/>
      <c r="L28" s="32"/>
      <c r="M28" s="32"/>
    </row>
    <row r="29" customFormat="false" ht="31.5" hidden="false" customHeight="true" outlineLevel="0" collapsed="false">
      <c r="A29" s="46" t="str">
        <f aca="false">IF($A$80="","",$A$80)</f>
        <v>Project 5</v>
      </c>
      <c r="B29" s="45"/>
      <c r="C29" s="45"/>
      <c r="D29" s="45"/>
      <c r="E29" s="45"/>
      <c r="F29" s="45"/>
      <c r="G29" s="45"/>
      <c r="H29" s="45"/>
      <c r="I29" s="45"/>
      <c r="J29" s="32"/>
      <c r="K29" s="32"/>
      <c r="L29" s="32"/>
      <c r="M29" s="32"/>
    </row>
    <row r="30" customFormat="false" ht="31.5" hidden="false" customHeight="true" outlineLevel="0" collapsed="false">
      <c r="A30" s="46" t="str">
        <f aca="false">IF($A$81="","",$A$81)</f>
        <v>Project 6</v>
      </c>
      <c r="B30" s="45"/>
      <c r="C30" s="45"/>
      <c r="D30" s="45"/>
      <c r="E30" s="45"/>
      <c r="F30" s="45"/>
      <c r="G30" s="45"/>
      <c r="H30" s="45"/>
      <c r="I30" s="45"/>
      <c r="J30" s="32"/>
      <c r="K30" s="32"/>
      <c r="L30" s="32"/>
      <c r="M30" s="32"/>
    </row>
    <row r="31" customFormat="false" ht="31.5" hidden="false" customHeight="true" outlineLevel="0" collapsed="false">
      <c r="A31" s="46" t="str">
        <f aca="false">IF($A$82="","",$A$82)</f>
        <v/>
      </c>
      <c r="B31" s="45"/>
      <c r="C31" s="45"/>
      <c r="D31" s="45"/>
      <c r="E31" s="45"/>
      <c r="F31" s="45"/>
      <c r="G31" s="45"/>
      <c r="H31" s="45"/>
      <c r="I31" s="45"/>
      <c r="J31" s="32"/>
      <c r="K31" s="32"/>
      <c r="L31" s="32"/>
      <c r="M31" s="32"/>
    </row>
    <row r="32" customFormat="false" ht="31.5" hidden="false" customHeight="true" outlineLevel="0" collapsed="false">
      <c r="A32" s="46" t="str">
        <f aca="false">IF($A$83="","",$A$83)</f>
        <v/>
      </c>
      <c r="B32" s="45"/>
      <c r="C32" s="45"/>
      <c r="D32" s="45"/>
      <c r="E32" s="45"/>
      <c r="F32" s="45"/>
      <c r="G32" s="45"/>
      <c r="H32" s="45"/>
      <c r="I32" s="45"/>
      <c r="J32" s="32"/>
      <c r="K32" s="32"/>
      <c r="L32" s="32"/>
      <c r="M32" s="32"/>
    </row>
    <row r="34" customFormat="false" ht="21.75" hidden="false" customHeight="true" outlineLevel="0" collapsed="false">
      <c r="A34" s="3" t="s">
        <v>89</v>
      </c>
      <c r="B34" s="4"/>
      <c r="C34" s="4"/>
      <c r="D34" s="4"/>
      <c r="E34" s="4"/>
      <c r="F34" s="4"/>
      <c r="G34" s="4"/>
      <c r="H34" s="4"/>
      <c r="I34" s="4"/>
      <c r="J34" s="4"/>
      <c r="K34" s="4"/>
      <c r="L34" s="4"/>
      <c r="M34" s="4"/>
    </row>
    <row r="35" customFormat="false" ht="15" hidden="false" customHeight="true" outlineLevel="0" collapsed="false">
      <c r="A35" s="36" t="s">
        <v>90</v>
      </c>
      <c r="B35" s="30" t="s">
        <v>76</v>
      </c>
      <c r="C35" s="30"/>
      <c r="D35" s="30"/>
      <c r="E35" s="30" t="s">
        <v>77</v>
      </c>
      <c r="F35" s="30"/>
      <c r="G35" s="30"/>
      <c r="H35" s="30" t="s">
        <v>78</v>
      </c>
      <c r="I35" s="30"/>
      <c r="J35" s="30"/>
      <c r="K35" s="30" t="s">
        <v>79</v>
      </c>
      <c r="L35" s="30"/>
      <c r="M35" s="30"/>
    </row>
    <row r="36" customFormat="false" ht="39.75" hidden="false" customHeight="true" outlineLevel="0" collapsed="false">
      <c r="A36" s="46" t="s">
        <v>116</v>
      </c>
      <c r="B36" s="45"/>
      <c r="C36" s="45"/>
      <c r="D36" s="45"/>
      <c r="E36" s="45"/>
      <c r="F36" s="45"/>
      <c r="G36" s="45"/>
      <c r="H36" s="45"/>
      <c r="I36" s="45"/>
      <c r="J36" s="45"/>
      <c r="K36" s="45"/>
      <c r="L36" s="45"/>
      <c r="M36" s="45"/>
    </row>
    <row r="37" customFormat="false" ht="39.75" hidden="false" customHeight="true" outlineLevel="0" collapsed="false">
      <c r="A37" s="46" t="str">
        <f aca="false">IF($A$76="","",$A$76)</f>
        <v>Project 1</v>
      </c>
      <c r="B37" s="45"/>
      <c r="C37" s="45"/>
      <c r="D37" s="45"/>
      <c r="E37" s="45"/>
      <c r="F37" s="45"/>
      <c r="G37" s="45"/>
      <c r="H37" s="45"/>
      <c r="I37" s="45"/>
      <c r="J37" s="45"/>
      <c r="K37" s="45"/>
      <c r="L37" s="45"/>
      <c r="M37" s="45"/>
    </row>
    <row r="38" customFormat="false" ht="39.75" hidden="false" customHeight="true" outlineLevel="0" collapsed="false">
      <c r="A38" s="46" t="str">
        <f aca="false">IF($A$77="","",$A$77)</f>
        <v>Project 2</v>
      </c>
      <c r="B38" s="45"/>
      <c r="C38" s="45"/>
      <c r="D38" s="45"/>
      <c r="E38" s="45"/>
      <c r="F38" s="45"/>
      <c r="G38" s="45"/>
      <c r="H38" s="45"/>
      <c r="I38" s="45"/>
      <c r="J38" s="45"/>
      <c r="K38" s="45"/>
      <c r="L38" s="45"/>
      <c r="M38" s="45"/>
    </row>
    <row r="39" customFormat="false" ht="39.75" hidden="false" customHeight="true" outlineLevel="0" collapsed="false">
      <c r="A39" s="46" t="str">
        <f aca="false">IF($A$78="","",$A$78)</f>
        <v>Project 3</v>
      </c>
      <c r="B39" s="45"/>
      <c r="C39" s="45"/>
      <c r="D39" s="45"/>
      <c r="E39" s="45"/>
      <c r="F39" s="45"/>
      <c r="G39" s="45"/>
      <c r="H39" s="45"/>
      <c r="I39" s="45"/>
      <c r="J39" s="45"/>
      <c r="K39" s="45"/>
      <c r="L39" s="45"/>
      <c r="M39" s="45"/>
    </row>
    <row r="40" customFormat="false" ht="39.75" hidden="false" customHeight="true" outlineLevel="0" collapsed="false">
      <c r="A40" s="46" t="str">
        <f aca="false">IF($A$79="","",$A$79)</f>
        <v>Project 4</v>
      </c>
      <c r="B40" s="45"/>
      <c r="C40" s="45"/>
      <c r="D40" s="45"/>
      <c r="E40" s="45"/>
      <c r="F40" s="45"/>
      <c r="G40" s="45"/>
      <c r="H40" s="45"/>
      <c r="I40" s="45"/>
      <c r="J40" s="45"/>
      <c r="K40" s="45"/>
      <c r="L40" s="45"/>
      <c r="M40" s="45"/>
    </row>
    <row r="41" customFormat="false" ht="39.75" hidden="false" customHeight="true" outlineLevel="0" collapsed="false">
      <c r="A41" s="46" t="str">
        <f aca="false">IF($A$80="","",$A$80)</f>
        <v>Project 5</v>
      </c>
      <c r="B41" s="45"/>
      <c r="C41" s="45"/>
      <c r="D41" s="45"/>
      <c r="E41" s="45"/>
      <c r="F41" s="45"/>
      <c r="G41" s="45"/>
      <c r="H41" s="45"/>
      <c r="I41" s="45"/>
      <c r="J41" s="45"/>
      <c r="K41" s="45"/>
      <c r="L41" s="45"/>
      <c r="M41" s="45"/>
    </row>
    <row r="42" customFormat="false" ht="39.75" hidden="false" customHeight="true" outlineLevel="0" collapsed="false">
      <c r="A42" s="46" t="str">
        <f aca="false">IF($A$81="","",$A$81)</f>
        <v>Project 6</v>
      </c>
      <c r="B42" s="45"/>
      <c r="C42" s="45"/>
      <c r="D42" s="45"/>
      <c r="E42" s="45"/>
      <c r="F42" s="45"/>
      <c r="G42" s="45"/>
      <c r="H42" s="45"/>
      <c r="I42" s="45"/>
      <c r="J42" s="45"/>
      <c r="K42" s="45"/>
      <c r="L42" s="45"/>
      <c r="M42" s="45"/>
    </row>
    <row r="43" customFormat="false" ht="39.75" hidden="false" customHeight="true" outlineLevel="0" collapsed="false">
      <c r="A43" s="46" t="str">
        <f aca="false">IF($A$82="","",$A$82)</f>
        <v/>
      </c>
      <c r="B43" s="45"/>
      <c r="C43" s="45"/>
      <c r="D43" s="45"/>
      <c r="E43" s="45"/>
      <c r="F43" s="45"/>
      <c r="G43" s="45"/>
      <c r="H43" s="45"/>
      <c r="I43" s="45"/>
      <c r="J43" s="45"/>
      <c r="K43" s="45"/>
      <c r="L43" s="45"/>
      <c r="M43" s="45"/>
    </row>
    <row r="44" customFormat="false" ht="39.75" hidden="false" customHeight="true" outlineLevel="0" collapsed="false">
      <c r="A44" s="46" t="str">
        <f aca="false">IF($A$83="","",$A$83)</f>
        <v/>
      </c>
      <c r="B44" s="45"/>
      <c r="C44" s="45"/>
      <c r="D44" s="45"/>
      <c r="E44" s="45"/>
      <c r="F44" s="45"/>
      <c r="G44" s="45"/>
      <c r="H44" s="45"/>
      <c r="I44" s="45"/>
      <c r="J44" s="45"/>
      <c r="K44" s="45"/>
      <c r="L44" s="45"/>
      <c r="M44" s="45"/>
    </row>
    <row r="46" customFormat="false" ht="21.75" hidden="false" customHeight="true" outlineLevel="0" collapsed="false">
      <c r="A46" s="3" t="str">
        <f aca="false">"Project performance – current period ("&amp;CurLbl&amp;") – calculated"</f>
        <v>Project performance – current period (P7) – calculated</v>
      </c>
      <c r="B46" s="4"/>
      <c r="C46" s="4"/>
      <c r="D46" s="4"/>
      <c r="E46" s="4"/>
      <c r="F46" s="4"/>
      <c r="G46" s="4"/>
      <c r="H46" s="4"/>
      <c r="I46" s="4"/>
      <c r="J46" s="4"/>
      <c r="K46" s="4"/>
      <c r="L46" s="4"/>
      <c r="M46" s="4"/>
    </row>
    <row r="47" customFormat="false" ht="15" hidden="false" customHeight="false" outlineLevel="0" collapsed="false">
      <c r="A47" s="34" t="s">
        <v>55</v>
      </c>
      <c r="B47" s="35"/>
      <c r="C47" s="35"/>
      <c r="D47" s="35"/>
      <c r="E47" s="35"/>
      <c r="F47" s="35"/>
      <c r="G47" s="35"/>
      <c r="H47" s="35"/>
      <c r="I47" s="35"/>
      <c r="J47" s="35"/>
      <c r="K47" s="35"/>
      <c r="L47" s="35"/>
      <c r="M47" s="35"/>
    </row>
    <row r="48" customFormat="false" ht="30" hidden="false" customHeight="true" outlineLevel="0" collapsed="false">
      <c r="A48" s="36" t="s">
        <v>25</v>
      </c>
      <c r="B48" s="14" t="s">
        <v>42</v>
      </c>
      <c r="C48" s="14"/>
      <c r="D48" s="14" t="s">
        <v>43</v>
      </c>
      <c r="E48" s="14"/>
      <c r="F48" s="14" t="s">
        <v>44</v>
      </c>
      <c r="G48" s="14"/>
      <c r="H48" s="14" t="s">
        <v>45</v>
      </c>
      <c r="I48" s="14"/>
      <c r="J48" s="14" t="s">
        <v>46</v>
      </c>
      <c r="K48" s="14"/>
      <c r="L48" s="14" t="s">
        <v>47</v>
      </c>
      <c r="M48" s="14"/>
    </row>
    <row r="49" customFormat="false" ht="15" hidden="false" customHeight="false" outlineLevel="0" collapsed="false">
      <c r="A49" s="49" t="str">
        <f aca="false">IF($A$76="","",$A$76)</f>
        <v>Project 1</v>
      </c>
      <c r="B49" s="38" t="str">
        <f aca="false">IF($A49="","",IF(N(C76)=0,"N/A",N(B76)/C76))</f>
        <v>N/A</v>
      </c>
      <c r="C49" s="39" t="str">
        <f aca="false">IF(OR($A49="",N(C76)=0),"",N(B76)&amp;"/"&amp;C76)</f>
        <v/>
      </c>
      <c r="D49" s="38" t="str">
        <f aca="false">IF($A49="","",IF(N(E76)=0,"N/A",N(D76)/E76))</f>
        <v>N/A</v>
      </c>
      <c r="E49" s="39" t="str">
        <f aca="false">IF(OR($A49="",N(E76)=0),"",N(D76)&amp;"/"&amp;E76)</f>
        <v/>
      </c>
      <c r="F49" s="38" t="str">
        <f aca="false">IF($A49="","",IF(N(G76)=0,"N/A",N(F76)/G76))</f>
        <v>N/A</v>
      </c>
      <c r="G49" s="39" t="str">
        <f aca="false">IF(OR($A49="",N(G76)=0),"",N(F76)&amp;"/"&amp;G76)</f>
        <v/>
      </c>
      <c r="H49" s="38" t="str">
        <f aca="false">IF($A49="","",IF(N(I76)=0,"N/A",N(H76)/I76))</f>
        <v>N/A</v>
      </c>
      <c r="I49" s="39" t="str">
        <f aca="false">IF(OR($A49="",N(I76)=0),"",N(H76)&amp;"/"&amp;I76)</f>
        <v/>
      </c>
      <c r="J49" s="38" t="str">
        <f aca="false">IF($A49="","",IF(N(K76)=0,"N/A",N(J76)/K76))</f>
        <v>N/A</v>
      </c>
      <c r="K49" s="39" t="str">
        <f aca="false">IF(OR($A49="",N(K76)=0),"",N(J76)&amp;"/"&amp;K76)</f>
        <v/>
      </c>
      <c r="L49" s="38" t="str">
        <f aca="false">IF($A49="","",IF(N(M76)=0,"N/A",N(L76)/M76))</f>
        <v>N/A</v>
      </c>
      <c r="M49" s="39" t="str">
        <f aca="false">IF(OR($A49="",N(M76)=0),"",N(L76)&amp;"/"&amp;M76)</f>
        <v/>
      </c>
    </row>
    <row r="50" customFormat="false" ht="15" hidden="false" customHeight="false" outlineLevel="0" collapsed="false">
      <c r="A50" s="49" t="str">
        <f aca="false">IF($A$77="","",$A$77)</f>
        <v>Project 2</v>
      </c>
      <c r="B50" s="38" t="str">
        <f aca="false">IF($A50="","",IF(N(C77)=0,"N/A",N(B77)/C77))</f>
        <v>N/A</v>
      </c>
      <c r="C50" s="39" t="str">
        <f aca="false">IF(OR($A50="",N(C77)=0),"",N(B77)&amp;"/"&amp;C77)</f>
        <v/>
      </c>
      <c r="D50" s="38" t="str">
        <f aca="false">IF($A50="","",IF(N(E77)=0,"N/A",N(D77)/E77))</f>
        <v>N/A</v>
      </c>
      <c r="E50" s="39" t="str">
        <f aca="false">IF(OR($A50="",N(E77)=0),"",N(D77)&amp;"/"&amp;E77)</f>
        <v/>
      </c>
      <c r="F50" s="38" t="str">
        <f aca="false">IF($A50="","",IF(N(G77)=0,"N/A",N(F77)/G77))</f>
        <v>N/A</v>
      </c>
      <c r="G50" s="39" t="str">
        <f aca="false">IF(OR($A50="",N(G77)=0),"",N(F77)&amp;"/"&amp;G77)</f>
        <v/>
      </c>
      <c r="H50" s="38" t="str">
        <f aca="false">IF($A50="","",IF(N(I77)=0,"N/A",N(H77)/I77))</f>
        <v>N/A</v>
      </c>
      <c r="I50" s="39" t="str">
        <f aca="false">IF(OR($A50="",N(I77)=0),"",N(H77)&amp;"/"&amp;I77)</f>
        <v/>
      </c>
      <c r="J50" s="38" t="str">
        <f aca="false">IF($A50="","",IF(N(K77)=0,"N/A",N(J77)/K77))</f>
        <v>N/A</v>
      </c>
      <c r="K50" s="39" t="str">
        <f aca="false">IF(OR($A50="",N(K77)=0),"",N(J77)&amp;"/"&amp;K77)</f>
        <v/>
      </c>
      <c r="L50" s="38" t="str">
        <f aca="false">IF($A50="","",IF(N(M77)=0,"N/A",N(L77)/M77))</f>
        <v>N/A</v>
      </c>
      <c r="M50" s="39" t="str">
        <f aca="false">IF(OR($A50="",N(M77)=0),"",N(L77)&amp;"/"&amp;M77)</f>
        <v/>
      </c>
    </row>
    <row r="51" customFormat="false" ht="15" hidden="false" customHeight="false" outlineLevel="0" collapsed="false">
      <c r="A51" s="49" t="str">
        <f aca="false">IF($A$78="","",$A$78)</f>
        <v>Project 3</v>
      </c>
      <c r="B51" s="38" t="str">
        <f aca="false">IF($A51="","",IF(N(C78)=0,"N/A",N(B78)/C78))</f>
        <v>N/A</v>
      </c>
      <c r="C51" s="39" t="str">
        <f aca="false">IF(OR($A51="",N(C78)=0),"",N(B78)&amp;"/"&amp;C78)</f>
        <v/>
      </c>
      <c r="D51" s="38" t="str">
        <f aca="false">IF($A51="","",IF(N(E78)=0,"N/A",N(D78)/E78))</f>
        <v>N/A</v>
      </c>
      <c r="E51" s="39" t="str">
        <f aca="false">IF(OR($A51="",N(E78)=0),"",N(D78)&amp;"/"&amp;E78)</f>
        <v/>
      </c>
      <c r="F51" s="38" t="str">
        <f aca="false">IF($A51="","",IF(N(G78)=0,"N/A",N(F78)/G78))</f>
        <v>N/A</v>
      </c>
      <c r="G51" s="39" t="str">
        <f aca="false">IF(OR($A51="",N(G78)=0),"",N(F78)&amp;"/"&amp;G78)</f>
        <v/>
      </c>
      <c r="H51" s="38" t="str">
        <f aca="false">IF($A51="","",IF(N(I78)=0,"N/A",N(H78)/I78))</f>
        <v>N/A</v>
      </c>
      <c r="I51" s="39" t="str">
        <f aca="false">IF(OR($A51="",N(I78)=0),"",N(H78)&amp;"/"&amp;I78)</f>
        <v/>
      </c>
      <c r="J51" s="38" t="str">
        <f aca="false">IF($A51="","",IF(N(K78)=0,"N/A",N(J78)/K78))</f>
        <v>N/A</v>
      </c>
      <c r="K51" s="39" t="str">
        <f aca="false">IF(OR($A51="",N(K78)=0),"",N(J78)&amp;"/"&amp;K78)</f>
        <v/>
      </c>
      <c r="L51" s="38" t="str">
        <f aca="false">IF($A51="","",IF(N(M78)=0,"N/A",N(L78)/M78))</f>
        <v>N/A</v>
      </c>
      <c r="M51" s="39" t="str">
        <f aca="false">IF(OR($A51="",N(M78)=0),"",N(L78)&amp;"/"&amp;M78)</f>
        <v/>
      </c>
    </row>
    <row r="52" customFormat="false" ht="15" hidden="false" customHeight="false" outlineLevel="0" collapsed="false">
      <c r="A52" s="49" t="str">
        <f aca="false">IF($A$79="","",$A$79)</f>
        <v>Project 4</v>
      </c>
      <c r="B52" s="38" t="str">
        <f aca="false">IF($A52="","",IF(N(C79)=0,"N/A",N(B79)/C79))</f>
        <v>N/A</v>
      </c>
      <c r="C52" s="39" t="str">
        <f aca="false">IF(OR($A52="",N(C79)=0),"",N(B79)&amp;"/"&amp;C79)</f>
        <v/>
      </c>
      <c r="D52" s="38" t="str">
        <f aca="false">IF($A52="","",IF(N(E79)=0,"N/A",N(D79)/E79))</f>
        <v>N/A</v>
      </c>
      <c r="E52" s="39" t="str">
        <f aca="false">IF(OR($A52="",N(E79)=0),"",N(D79)&amp;"/"&amp;E79)</f>
        <v/>
      </c>
      <c r="F52" s="38" t="str">
        <f aca="false">IF($A52="","",IF(N(G79)=0,"N/A",N(F79)/G79))</f>
        <v>N/A</v>
      </c>
      <c r="G52" s="39" t="str">
        <f aca="false">IF(OR($A52="",N(G79)=0),"",N(F79)&amp;"/"&amp;G79)</f>
        <v/>
      </c>
      <c r="H52" s="38" t="str">
        <f aca="false">IF($A52="","",IF(N(I79)=0,"N/A",N(H79)/I79))</f>
        <v>N/A</v>
      </c>
      <c r="I52" s="39" t="str">
        <f aca="false">IF(OR($A52="",N(I79)=0),"",N(H79)&amp;"/"&amp;I79)</f>
        <v/>
      </c>
      <c r="J52" s="38" t="str">
        <f aca="false">IF($A52="","",IF(N(K79)=0,"N/A",N(J79)/K79))</f>
        <v>N/A</v>
      </c>
      <c r="K52" s="39" t="str">
        <f aca="false">IF(OR($A52="",N(K79)=0),"",N(J79)&amp;"/"&amp;K79)</f>
        <v/>
      </c>
      <c r="L52" s="38" t="str">
        <f aca="false">IF($A52="","",IF(N(M79)=0,"N/A",N(L79)/M79))</f>
        <v>N/A</v>
      </c>
      <c r="M52" s="39" t="str">
        <f aca="false">IF(OR($A52="",N(M79)=0),"",N(L79)&amp;"/"&amp;M79)</f>
        <v/>
      </c>
    </row>
    <row r="53" customFormat="false" ht="15" hidden="false" customHeight="false" outlineLevel="0" collapsed="false">
      <c r="A53" s="49" t="str">
        <f aca="false">IF($A$80="","",$A$80)</f>
        <v>Project 5</v>
      </c>
      <c r="B53" s="38" t="str">
        <f aca="false">IF($A53="","",IF(N(C80)=0,"N/A",N(B80)/C80))</f>
        <v>N/A</v>
      </c>
      <c r="C53" s="39" t="str">
        <f aca="false">IF(OR($A53="",N(C80)=0),"",N(B80)&amp;"/"&amp;C80)</f>
        <v/>
      </c>
      <c r="D53" s="38" t="str">
        <f aca="false">IF($A53="","",IF(N(E80)=0,"N/A",N(D80)/E80))</f>
        <v>N/A</v>
      </c>
      <c r="E53" s="39" t="str">
        <f aca="false">IF(OR($A53="",N(E80)=0),"",N(D80)&amp;"/"&amp;E80)</f>
        <v/>
      </c>
      <c r="F53" s="38" t="str">
        <f aca="false">IF($A53="","",IF(N(G80)=0,"N/A",N(F80)/G80))</f>
        <v>N/A</v>
      </c>
      <c r="G53" s="39" t="str">
        <f aca="false">IF(OR($A53="",N(G80)=0),"",N(F80)&amp;"/"&amp;G80)</f>
        <v/>
      </c>
      <c r="H53" s="38" t="str">
        <f aca="false">IF($A53="","",IF(N(I80)=0,"N/A",N(H80)/I80))</f>
        <v>N/A</v>
      </c>
      <c r="I53" s="39" t="str">
        <f aca="false">IF(OR($A53="",N(I80)=0),"",N(H80)&amp;"/"&amp;I80)</f>
        <v/>
      </c>
      <c r="J53" s="38" t="str">
        <f aca="false">IF($A53="","",IF(N(K80)=0,"N/A",N(J80)/K80))</f>
        <v>N/A</v>
      </c>
      <c r="K53" s="39" t="str">
        <f aca="false">IF(OR($A53="",N(K80)=0),"",N(J80)&amp;"/"&amp;K80)</f>
        <v/>
      </c>
      <c r="L53" s="38" t="str">
        <f aca="false">IF($A53="","",IF(N(M80)=0,"N/A",N(L80)/M80))</f>
        <v>N/A</v>
      </c>
      <c r="M53" s="39" t="str">
        <f aca="false">IF(OR($A53="",N(M80)=0),"",N(L80)&amp;"/"&amp;M80)</f>
        <v/>
      </c>
    </row>
    <row r="54" customFormat="false" ht="15" hidden="false" customHeight="false" outlineLevel="0" collapsed="false">
      <c r="A54" s="49" t="str">
        <f aca="false">IF($A$81="","",$A$81)</f>
        <v>Project 6</v>
      </c>
      <c r="B54" s="38" t="str">
        <f aca="false">IF($A54="","",IF(N(C81)=0,"N/A",N(B81)/C81))</f>
        <v>N/A</v>
      </c>
      <c r="C54" s="39" t="str">
        <f aca="false">IF(OR($A54="",N(C81)=0),"",N(B81)&amp;"/"&amp;C81)</f>
        <v/>
      </c>
      <c r="D54" s="38" t="str">
        <f aca="false">IF($A54="","",IF(N(E81)=0,"N/A",N(D81)/E81))</f>
        <v>N/A</v>
      </c>
      <c r="E54" s="39" t="str">
        <f aca="false">IF(OR($A54="",N(E81)=0),"",N(D81)&amp;"/"&amp;E81)</f>
        <v/>
      </c>
      <c r="F54" s="38" t="str">
        <f aca="false">IF($A54="","",IF(N(G81)=0,"N/A",N(F81)/G81))</f>
        <v>N/A</v>
      </c>
      <c r="G54" s="39" t="str">
        <f aca="false">IF(OR($A54="",N(G81)=0),"",N(F81)&amp;"/"&amp;G81)</f>
        <v/>
      </c>
      <c r="H54" s="38" t="str">
        <f aca="false">IF($A54="","",IF(N(I81)=0,"N/A",N(H81)/I81))</f>
        <v>N/A</v>
      </c>
      <c r="I54" s="39" t="str">
        <f aca="false">IF(OR($A54="",N(I81)=0),"",N(H81)&amp;"/"&amp;I81)</f>
        <v/>
      </c>
      <c r="J54" s="38" t="str">
        <f aca="false">IF($A54="","",IF(N(K81)=0,"N/A",N(J81)/K81))</f>
        <v>N/A</v>
      </c>
      <c r="K54" s="39" t="str">
        <f aca="false">IF(OR($A54="",N(K81)=0),"",N(J81)&amp;"/"&amp;K81)</f>
        <v/>
      </c>
      <c r="L54" s="38" t="str">
        <f aca="false">IF($A54="","",IF(N(M81)=0,"N/A",N(L81)/M81))</f>
        <v>N/A</v>
      </c>
      <c r="M54" s="39" t="str">
        <f aca="false">IF(OR($A54="",N(M81)=0),"",N(L81)&amp;"/"&amp;M81)</f>
        <v/>
      </c>
    </row>
    <row r="55" customFormat="false" ht="15" hidden="false" customHeight="false" outlineLevel="0" collapsed="false">
      <c r="A55" s="49" t="str">
        <f aca="false">IF($A$82="","",$A$82)</f>
        <v/>
      </c>
      <c r="B55" s="38" t="str">
        <f aca="false">IF($A55="","",IF(N(C82)=0,"N/A",N(B82)/C82))</f>
        <v/>
      </c>
      <c r="C55" s="39" t="str">
        <f aca="false">IF(OR($A55="",N(C82)=0),"",N(B82)&amp;"/"&amp;C82)</f>
        <v/>
      </c>
      <c r="D55" s="38" t="str">
        <f aca="false">IF($A55="","",IF(N(E82)=0,"N/A",N(D82)/E82))</f>
        <v/>
      </c>
      <c r="E55" s="39" t="str">
        <f aca="false">IF(OR($A55="",N(E82)=0),"",N(D82)&amp;"/"&amp;E82)</f>
        <v/>
      </c>
      <c r="F55" s="38" t="str">
        <f aca="false">IF($A55="","",IF(N(G82)=0,"N/A",N(F82)/G82))</f>
        <v/>
      </c>
      <c r="G55" s="39" t="str">
        <f aca="false">IF(OR($A55="",N(G82)=0),"",N(F82)&amp;"/"&amp;G82)</f>
        <v/>
      </c>
      <c r="H55" s="38" t="str">
        <f aca="false">IF($A55="","",IF(N(I82)=0,"N/A",N(H82)/I82))</f>
        <v/>
      </c>
      <c r="I55" s="39" t="str">
        <f aca="false">IF(OR($A55="",N(I82)=0),"",N(H82)&amp;"/"&amp;I82)</f>
        <v/>
      </c>
      <c r="J55" s="38" t="str">
        <f aca="false">IF($A55="","",IF(N(K82)=0,"N/A",N(J82)/K82))</f>
        <v/>
      </c>
      <c r="K55" s="39" t="str">
        <f aca="false">IF(OR($A55="",N(K82)=0),"",N(J82)&amp;"/"&amp;K82)</f>
        <v/>
      </c>
      <c r="L55" s="38" t="str">
        <f aca="false">IF($A55="","",IF(N(M82)=0,"N/A",N(L82)/M82))</f>
        <v/>
      </c>
      <c r="M55" s="39" t="str">
        <f aca="false">IF(OR($A55="",N(M82)=0),"",N(L82)&amp;"/"&amp;M82)</f>
        <v/>
      </c>
    </row>
    <row r="56" customFormat="false" ht="15" hidden="false" customHeight="false" outlineLevel="0" collapsed="false">
      <c r="A56" s="49" t="str">
        <f aca="false">IF($A$83="","",$A$83)</f>
        <v/>
      </c>
      <c r="B56" s="38" t="str">
        <f aca="false">IF($A56="","",IF(N(C83)=0,"N/A",N(B83)/C83))</f>
        <v/>
      </c>
      <c r="C56" s="39" t="str">
        <f aca="false">IF(OR($A56="",N(C83)=0),"",N(B83)&amp;"/"&amp;C83)</f>
        <v/>
      </c>
      <c r="D56" s="38" t="str">
        <f aca="false">IF($A56="","",IF(N(E83)=0,"N/A",N(D83)/E83))</f>
        <v/>
      </c>
      <c r="E56" s="39" t="str">
        <f aca="false">IF(OR($A56="",N(E83)=0),"",N(D83)&amp;"/"&amp;E83)</f>
        <v/>
      </c>
      <c r="F56" s="38" t="str">
        <f aca="false">IF($A56="","",IF(N(G83)=0,"N/A",N(F83)/G83))</f>
        <v/>
      </c>
      <c r="G56" s="39" t="str">
        <f aca="false">IF(OR($A56="",N(G83)=0),"",N(F83)&amp;"/"&amp;G83)</f>
        <v/>
      </c>
      <c r="H56" s="38" t="str">
        <f aca="false">IF($A56="","",IF(N(I83)=0,"N/A",N(H83)/I83))</f>
        <v/>
      </c>
      <c r="I56" s="39" t="str">
        <f aca="false">IF(OR($A56="",N(I83)=0),"",N(H83)&amp;"/"&amp;I83)</f>
        <v/>
      </c>
      <c r="J56" s="38" t="str">
        <f aca="false">IF($A56="","",IF(N(K83)=0,"N/A",N(J83)/K83))</f>
        <v/>
      </c>
      <c r="K56" s="39" t="str">
        <f aca="false">IF(OR($A56="",N(K83)=0),"",N(J83)&amp;"/"&amp;K83)</f>
        <v/>
      </c>
      <c r="L56" s="38" t="str">
        <f aca="false">IF($A56="","",IF(N(M83)=0,"N/A",N(L83)/M83))</f>
        <v/>
      </c>
      <c r="M56" s="39" t="str">
        <f aca="false">IF(OR($A56="",N(M83)=0),"",N(L83)&amp;"/"&amp;M83)</f>
        <v/>
      </c>
    </row>
    <row r="57" customFormat="false" ht="15" hidden="false" customHeight="false" outlineLevel="0" collapsed="false">
      <c r="A57" s="40" t="s">
        <v>117</v>
      </c>
      <c r="B57" s="38" t="str">
        <f aca="false">IF($A57="","",IF(N(C84)=0,"N/A",N(B84)/C84))</f>
        <v>N/A</v>
      </c>
      <c r="C57" s="39" t="str">
        <f aca="false">IF(OR($A57="",N(C84)=0),"",N(B84)&amp;"/"&amp;C84)</f>
        <v/>
      </c>
      <c r="D57" s="38" t="str">
        <f aca="false">IF($A57="","",IF(N(E84)=0,"N/A",N(D84)/E84))</f>
        <v>N/A</v>
      </c>
      <c r="E57" s="39" t="str">
        <f aca="false">IF(OR($A57="",N(E84)=0),"",N(D84)&amp;"/"&amp;E84)</f>
        <v/>
      </c>
      <c r="F57" s="38" t="str">
        <f aca="false">IF($A57="","",IF(N(G84)=0,"N/A",N(F84)/G84))</f>
        <v>N/A</v>
      </c>
      <c r="G57" s="39" t="str">
        <f aca="false">IF(OR($A57="",N(G84)=0),"",N(F84)&amp;"/"&amp;G84)</f>
        <v/>
      </c>
      <c r="H57" s="38" t="str">
        <f aca="false">IF($A57="","",IF(N(I84)=0,"N/A",N(H84)/I84))</f>
        <v>N/A</v>
      </c>
      <c r="I57" s="39" t="str">
        <f aca="false">IF(OR($A57="",N(I84)=0),"",N(H84)&amp;"/"&amp;I84)</f>
        <v/>
      </c>
      <c r="J57" s="38" t="str">
        <f aca="false">IF($A57="","",IF(N(K84)=0,"N/A",N(J84)/K84))</f>
        <v>N/A</v>
      </c>
      <c r="K57" s="39" t="str">
        <f aca="false">IF(OR($A57="",N(K84)=0),"",N(J84)&amp;"/"&amp;K84)</f>
        <v/>
      </c>
      <c r="L57" s="38" t="str">
        <f aca="false">IF($A57="","",IF(N(M84)=0,"N/A",N(L84)/M84))</f>
        <v>N/A</v>
      </c>
      <c r="M57" s="39" t="str">
        <f aca="false">IF(OR($A57="",N(M84)=0),"",N(L84)&amp;"/"&amp;M84)</f>
        <v/>
      </c>
    </row>
    <row r="58" customFormat="false" ht="15" hidden="false" customHeight="false" outlineLevel="0" collapsed="false">
      <c r="A58" s="34" t="s">
        <v>49</v>
      </c>
      <c r="B58" s="35"/>
      <c r="C58" s="35"/>
      <c r="D58" s="35"/>
      <c r="E58" s="35"/>
      <c r="F58" s="35"/>
      <c r="G58" s="35"/>
      <c r="H58" s="35"/>
      <c r="I58" s="35"/>
      <c r="J58" s="35"/>
      <c r="K58" s="35"/>
      <c r="L58" s="35"/>
      <c r="M58" s="35"/>
    </row>
    <row r="59" customFormat="false" ht="30" hidden="false" customHeight="true" outlineLevel="0" collapsed="false">
      <c r="A59" s="36" t="s">
        <v>25</v>
      </c>
      <c r="B59" s="14" t="s">
        <v>50</v>
      </c>
      <c r="C59" s="14"/>
      <c r="D59" s="14" t="s">
        <v>51</v>
      </c>
      <c r="E59" s="14"/>
      <c r="F59" s="14" t="s">
        <v>52</v>
      </c>
      <c r="G59" s="14"/>
      <c r="H59" s="14" t="s">
        <v>53</v>
      </c>
      <c r="I59" s="14"/>
    </row>
    <row r="60" customFormat="false" ht="15" hidden="false" customHeight="false" outlineLevel="0" collapsed="false">
      <c r="A60" s="49" t="str">
        <f aca="false">IF($A$76="","",$A$76)</f>
        <v>Project 1</v>
      </c>
      <c r="B60" s="41" t="str">
        <f aca="false">IF($A60="","",IF(ISNUMBER(B102),B102,"N/A"))</f>
        <v>N/A</v>
      </c>
      <c r="C60" s="41"/>
      <c r="D60" s="38" t="str">
        <f aca="false">IF($A60="","",IF(N(E102)=0,"N/A",N(D102)/E102))</f>
        <v>N/A</v>
      </c>
      <c r="E60" s="39" t="str">
        <f aca="false">IF(OR($A60="",N(E102)=0),"",N(D102)&amp;"/"&amp;E102)</f>
        <v/>
      </c>
      <c r="F60" s="38" t="str">
        <f aca="false">IF($A60="","",IF(N(G102)=0,"N/A",N(F102)/G102))</f>
        <v>N/A</v>
      </c>
      <c r="G60" s="39" t="str">
        <f aca="false">IF(OR($A60="",N(G102)=0),"",N(F102)&amp;"/"&amp;G102)</f>
        <v/>
      </c>
      <c r="H60" s="38" t="str">
        <f aca="false">IF($A60="","",IF(N(I102)=0,"N/A",N(H102)/I102))</f>
        <v>N/A</v>
      </c>
      <c r="I60" s="39" t="str">
        <f aca="false">IF(OR($A60="",N(I102)=0),"",N(H102)&amp;"/"&amp;I102)</f>
        <v/>
      </c>
    </row>
    <row r="61" customFormat="false" ht="15" hidden="false" customHeight="false" outlineLevel="0" collapsed="false">
      <c r="A61" s="49" t="str">
        <f aca="false">IF($A$77="","",$A$77)</f>
        <v>Project 2</v>
      </c>
      <c r="B61" s="41" t="str">
        <f aca="false">IF($A61="","",IF(ISNUMBER(B103),B103,"N/A"))</f>
        <v>N/A</v>
      </c>
      <c r="C61" s="41"/>
      <c r="D61" s="38" t="str">
        <f aca="false">IF($A61="","",IF(N(E103)=0,"N/A",N(D103)/E103))</f>
        <v>N/A</v>
      </c>
      <c r="E61" s="39" t="str">
        <f aca="false">IF(OR($A61="",N(E103)=0),"",N(D103)&amp;"/"&amp;E103)</f>
        <v/>
      </c>
      <c r="F61" s="38" t="str">
        <f aca="false">IF($A61="","",IF(N(G103)=0,"N/A",N(F103)/G103))</f>
        <v>N/A</v>
      </c>
      <c r="G61" s="39" t="str">
        <f aca="false">IF(OR($A61="",N(G103)=0),"",N(F103)&amp;"/"&amp;G103)</f>
        <v/>
      </c>
      <c r="H61" s="38" t="str">
        <f aca="false">IF($A61="","",IF(N(I103)=0,"N/A",N(H103)/I103))</f>
        <v>N/A</v>
      </c>
      <c r="I61" s="39" t="str">
        <f aca="false">IF(OR($A61="",N(I103)=0),"",N(H103)&amp;"/"&amp;I103)</f>
        <v/>
      </c>
    </row>
    <row r="62" customFormat="false" ht="15" hidden="false" customHeight="false" outlineLevel="0" collapsed="false">
      <c r="A62" s="49" t="str">
        <f aca="false">IF($A$78="","",$A$78)</f>
        <v>Project 3</v>
      </c>
      <c r="B62" s="41" t="str">
        <f aca="false">IF($A62="","",IF(ISNUMBER(B104),B104,"N/A"))</f>
        <v>N/A</v>
      </c>
      <c r="C62" s="41"/>
      <c r="D62" s="38" t="str">
        <f aca="false">IF($A62="","",IF(N(E104)=0,"N/A",N(D104)/E104))</f>
        <v>N/A</v>
      </c>
      <c r="E62" s="39" t="str">
        <f aca="false">IF(OR($A62="",N(E104)=0),"",N(D104)&amp;"/"&amp;E104)</f>
        <v/>
      </c>
      <c r="F62" s="38" t="str">
        <f aca="false">IF($A62="","",IF(N(G104)=0,"N/A",N(F104)/G104))</f>
        <v>N/A</v>
      </c>
      <c r="G62" s="39" t="str">
        <f aca="false">IF(OR($A62="",N(G104)=0),"",N(F104)&amp;"/"&amp;G104)</f>
        <v/>
      </c>
      <c r="H62" s="38" t="str">
        <f aca="false">IF($A62="","",IF(N(I104)=0,"N/A",N(H104)/I104))</f>
        <v>N/A</v>
      </c>
      <c r="I62" s="39" t="str">
        <f aca="false">IF(OR($A62="",N(I104)=0),"",N(H104)&amp;"/"&amp;I104)</f>
        <v/>
      </c>
    </row>
    <row r="63" customFormat="false" ht="15" hidden="false" customHeight="false" outlineLevel="0" collapsed="false">
      <c r="A63" s="49" t="str">
        <f aca="false">IF($A$79="","",$A$79)</f>
        <v>Project 4</v>
      </c>
      <c r="B63" s="41" t="str">
        <f aca="false">IF($A63="","",IF(ISNUMBER(B105),B105,"N/A"))</f>
        <v>N/A</v>
      </c>
      <c r="C63" s="41"/>
      <c r="D63" s="38" t="str">
        <f aca="false">IF($A63="","",IF(N(E105)=0,"N/A",N(D105)/E105))</f>
        <v>N/A</v>
      </c>
      <c r="E63" s="39" t="str">
        <f aca="false">IF(OR($A63="",N(E105)=0),"",N(D105)&amp;"/"&amp;E105)</f>
        <v/>
      </c>
      <c r="F63" s="38" t="str">
        <f aca="false">IF($A63="","",IF(N(G105)=0,"N/A",N(F105)/G105))</f>
        <v>N/A</v>
      </c>
      <c r="G63" s="39" t="str">
        <f aca="false">IF(OR($A63="",N(G105)=0),"",N(F105)&amp;"/"&amp;G105)</f>
        <v/>
      </c>
      <c r="H63" s="38" t="str">
        <f aca="false">IF($A63="","",IF(N(I105)=0,"N/A",N(H105)/I105))</f>
        <v>N/A</v>
      </c>
      <c r="I63" s="39" t="str">
        <f aca="false">IF(OR($A63="",N(I105)=0),"",N(H105)&amp;"/"&amp;I105)</f>
        <v/>
      </c>
    </row>
    <row r="64" customFormat="false" ht="15" hidden="false" customHeight="false" outlineLevel="0" collapsed="false">
      <c r="A64" s="49" t="str">
        <f aca="false">IF($A$80="","",$A$80)</f>
        <v>Project 5</v>
      </c>
      <c r="B64" s="41" t="str">
        <f aca="false">IF($A64="","",IF(ISNUMBER(B106),B106,"N/A"))</f>
        <v>N/A</v>
      </c>
      <c r="C64" s="41"/>
      <c r="D64" s="38" t="str">
        <f aca="false">IF($A64="","",IF(N(E106)=0,"N/A",N(D106)/E106))</f>
        <v>N/A</v>
      </c>
      <c r="E64" s="39" t="str">
        <f aca="false">IF(OR($A64="",N(E106)=0),"",N(D106)&amp;"/"&amp;E106)</f>
        <v/>
      </c>
      <c r="F64" s="38" t="str">
        <f aca="false">IF($A64="","",IF(N(G106)=0,"N/A",N(F106)/G106))</f>
        <v>N/A</v>
      </c>
      <c r="G64" s="39" t="str">
        <f aca="false">IF(OR($A64="",N(G106)=0),"",N(F106)&amp;"/"&amp;G106)</f>
        <v/>
      </c>
      <c r="H64" s="38" t="str">
        <f aca="false">IF($A64="","",IF(N(I106)=0,"N/A",N(H106)/I106))</f>
        <v>N/A</v>
      </c>
      <c r="I64" s="39" t="str">
        <f aca="false">IF(OR($A64="",N(I106)=0),"",N(H106)&amp;"/"&amp;I106)</f>
        <v/>
      </c>
    </row>
    <row r="65" customFormat="false" ht="15" hidden="false" customHeight="false" outlineLevel="0" collapsed="false">
      <c r="A65" s="49" t="str">
        <f aca="false">IF($A$81="","",$A$81)</f>
        <v>Project 6</v>
      </c>
      <c r="B65" s="41" t="str">
        <f aca="false">IF($A65="","",IF(ISNUMBER(B107),B107,"N/A"))</f>
        <v>N/A</v>
      </c>
      <c r="C65" s="41"/>
      <c r="D65" s="38" t="str">
        <f aca="false">IF($A65="","",IF(N(E107)=0,"N/A",N(D107)/E107))</f>
        <v>N/A</v>
      </c>
      <c r="E65" s="39" t="str">
        <f aca="false">IF(OR($A65="",N(E107)=0),"",N(D107)&amp;"/"&amp;E107)</f>
        <v/>
      </c>
      <c r="F65" s="38" t="str">
        <f aca="false">IF($A65="","",IF(N(G107)=0,"N/A",N(F107)/G107))</f>
        <v>N/A</v>
      </c>
      <c r="G65" s="39" t="str">
        <f aca="false">IF(OR($A65="",N(G107)=0),"",N(F107)&amp;"/"&amp;G107)</f>
        <v/>
      </c>
      <c r="H65" s="38" t="str">
        <f aca="false">IF($A65="","",IF(N(I107)=0,"N/A",N(H107)/I107))</f>
        <v>N/A</v>
      </c>
      <c r="I65" s="39" t="str">
        <f aca="false">IF(OR($A65="",N(I107)=0),"",N(H107)&amp;"/"&amp;I107)</f>
        <v/>
      </c>
    </row>
    <row r="66" customFormat="false" ht="15" hidden="false" customHeight="false" outlineLevel="0" collapsed="false">
      <c r="A66" s="49" t="str">
        <f aca="false">IF($A$82="","",$A$82)</f>
        <v/>
      </c>
      <c r="B66" s="41" t="str">
        <f aca="false">IF($A66="","",IF(ISNUMBER(B108),B108,"N/A"))</f>
        <v/>
      </c>
      <c r="C66" s="41"/>
      <c r="D66" s="38" t="str">
        <f aca="false">IF($A66="","",IF(N(E108)=0,"N/A",N(D108)/E108))</f>
        <v/>
      </c>
      <c r="E66" s="39" t="str">
        <f aca="false">IF(OR($A66="",N(E108)=0),"",N(D108)&amp;"/"&amp;E108)</f>
        <v/>
      </c>
      <c r="F66" s="38" t="str">
        <f aca="false">IF($A66="","",IF(N(G108)=0,"N/A",N(F108)/G108))</f>
        <v/>
      </c>
      <c r="G66" s="39" t="str">
        <f aca="false">IF(OR($A66="",N(G108)=0),"",N(F108)&amp;"/"&amp;G108)</f>
        <v/>
      </c>
      <c r="H66" s="38" t="str">
        <f aca="false">IF($A66="","",IF(N(I108)=0,"N/A",N(H108)/I108))</f>
        <v/>
      </c>
      <c r="I66" s="39" t="str">
        <f aca="false">IF(OR($A66="",N(I108)=0),"",N(H108)&amp;"/"&amp;I108)</f>
        <v/>
      </c>
    </row>
    <row r="67" customFormat="false" ht="15" hidden="false" customHeight="false" outlineLevel="0" collapsed="false">
      <c r="A67" s="49" t="str">
        <f aca="false">IF($A$83="","",$A$83)</f>
        <v/>
      </c>
      <c r="B67" s="41" t="str">
        <f aca="false">IF($A67="","",IF(ISNUMBER(B109),B109,"N/A"))</f>
        <v/>
      </c>
      <c r="C67" s="41"/>
      <c r="D67" s="38" t="str">
        <f aca="false">IF($A67="","",IF(N(E109)=0,"N/A",N(D109)/E109))</f>
        <v/>
      </c>
      <c r="E67" s="39" t="str">
        <f aca="false">IF(OR($A67="",N(E109)=0),"",N(D109)&amp;"/"&amp;E109)</f>
        <v/>
      </c>
      <c r="F67" s="38" t="str">
        <f aca="false">IF($A67="","",IF(N(G109)=0,"N/A",N(F109)/G109))</f>
        <v/>
      </c>
      <c r="G67" s="39" t="str">
        <f aca="false">IF(OR($A67="",N(G109)=0),"",N(F109)&amp;"/"&amp;G109)</f>
        <v/>
      </c>
      <c r="H67" s="38" t="str">
        <f aca="false">IF($A67="","",IF(N(I109)=0,"N/A",N(H109)/I109))</f>
        <v/>
      </c>
      <c r="I67" s="39" t="str">
        <f aca="false">IF(OR($A67="",N(I109)=0),"",N(H109)&amp;"/"&amp;I109)</f>
        <v/>
      </c>
    </row>
    <row r="68" customFormat="false" ht="15" hidden="false" customHeight="false" outlineLevel="0" collapsed="false">
      <c r="A68" s="40" t="s">
        <v>117</v>
      </c>
      <c r="B68" s="41" t="str">
        <f aca="false">IF($A68="","",IF(ISNUMBER(B110),B110,"N/A"))</f>
        <v>N/A</v>
      </c>
      <c r="C68" s="41"/>
      <c r="D68" s="38" t="str">
        <f aca="false">IF($A68="","",IF(N(E110)=0,"N/A",N(D110)/E110))</f>
        <v>N/A</v>
      </c>
      <c r="E68" s="39" t="str">
        <f aca="false">IF(OR($A68="",N(E110)=0),"",N(D110)&amp;"/"&amp;E110)</f>
        <v/>
      </c>
      <c r="F68" s="38" t="str">
        <f aca="false">IF($A68="","",IF(N(G110)=0,"N/A",N(F110)/G110))</f>
        <v>N/A</v>
      </c>
      <c r="G68" s="39" t="str">
        <f aca="false">IF(OR($A68="",N(G110)=0),"",N(F110)&amp;"/"&amp;G110)</f>
        <v/>
      </c>
      <c r="H68" s="38" t="str">
        <f aca="false">IF($A68="","",IF(N(I110)=0,"N/A",N(H110)/I110))</f>
        <v>N/A</v>
      </c>
      <c r="I68" s="39" t="str">
        <f aca="false">IF(OR($A68="",N(I110)=0),"",N(H110)&amp;"/"&amp;I110)</f>
        <v/>
      </c>
    </row>
    <row r="70" customFormat="false" ht="21.75" hidden="false" customHeight="true" outlineLevel="0" collapsed="false">
      <c r="A70" s="3" t="s">
        <v>93</v>
      </c>
      <c r="B70" s="4"/>
      <c r="C70" s="4"/>
      <c r="D70" s="4"/>
      <c r="E70" s="4"/>
      <c r="F70" s="4"/>
      <c r="G70" s="4"/>
      <c r="H70" s="4"/>
      <c r="I70" s="4"/>
      <c r="J70" s="4"/>
      <c r="K70" s="4"/>
      <c r="L70" s="4"/>
      <c r="M70" s="4"/>
    </row>
    <row r="71" customFormat="false" ht="25.5" hidden="false" customHeight="true" outlineLevel="0" collapsed="false">
      <c r="A71" s="16" t="s">
        <v>94</v>
      </c>
      <c r="B71" s="16"/>
      <c r="C71" s="16"/>
      <c r="D71" s="16"/>
      <c r="E71" s="16"/>
      <c r="F71" s="16"/>
      <c r="G71" s="16"/>
      <c r="H71" s="16"/>
      <c r="I71" s="16"/>
      <c r="J71" s="16"/>
      <c r="K71" s="16"/>
      <c r="L71" s="16"/>
      <c r="M71" s="16"/>
    </row>
    <row r="73" customFormat="false" ht="15" hidden="false" customHeight="false" outlineLevel="0" collapsed="false">
      <c r="A73" s="34" t="str">
        <f aca="false">"PowerBI data – current period ("&amp;CurLbl&amp;")"</f>
        <v>PowerBI data – current period (P7)</v>
      </c>
      <c r="B73" s="35"/>
      <c r="C73" s="35"/>
      <c r="D73" s="35"/>
      <c r="E73" s="35"/>
      <c r="F73" s="35"/>
      <c r="G73" s="35"/>
      <c r="H73" s="35"/>
      <c r="I73" s="35"/>
      <c r="J73" s="35"/>
      <c r="K73" s="35"/>
      <c r="L73" s="35"/>
      <c r="M73" s="35"/>
    </row>
    <row r="74" customFormat="false" ht="30" hidden="false" customHeight="true" outlineLevel="0" collapsed="false">
      <c r="A74" s="36" t="s">
        <v>25</v>
      </c>
      <c r="B74" s="14" t="s">
        <v>42</v>
      </c>
      <c r="C74" s="14"/>
      <c r="D74" s="14" t="s">
        <v>43</v>
      </c>
      <c r="E74" s="14"/>
      <c r="F74" s="14" t="s">
        <v>44</v>
      </c>
      <c r="G74" s="14"/>
      <c r="H74" s="14" t="s">
        <v>45</v>
      </c>
      <c r="I74" s="14"/>
      <c r="J74" s="14" t="s">
        <v>46</v>
      </c>
      <c r="K74" s="14"/>
      <c r="L74" s="14" t="s">
        <v>47</v>
      </c>
      <c r="M74" s="14"/>
    </row>
    <row r="75" customFormat="false" ht="15" hidden="false" customHeight="false" outlineLevel="0" collapsed="false">
      <c r="A75" s="36"/>
      <c r="B75" s="48" t="s">
        <v>81</v>
      </c>
      <c r="C75" s="48" t="s">
        <v>82</v>
      </c>
      <c r="D75" s="48" t="s">
        <v>81</v>
      </c>
      <c r="E75" s="48" t="s">
        <v>82</v>
      </c>
      <c r="F75" s="48" t="s">
        <v>81</v>
      </c>
      <c r="G75" s="48" t="s">
        <v>82</v>
      </c>
      <c r="H75" s="48" t="s">
        <v>81</v>
      </c>
      <c r="I75" s="48" t="s">
        <v>82</v>
      </c>
      <c r="J75" s="48" t="s">
        <v>81</v>
      </c>
      <c r="K75" s="48" t="s">
        <v>82</v>
      </c>
      <c r="L75" s="48" t="s">
        <v>81</v>
      </c>
      <c r="M75" s="48" t="s">
        <v>82</v>
      </c>
    </row>
    <row r="76" customFormat="false" ht="15" hidden="false" customHeight="false" outlineLevel="0" collapsed="false">
      <c r="A76" s="53" t="s">
        <v>104</v>
      </c>
      <c r="B76" s="54"/>
      <c r="C76" s="54"/>
      <c r="D76" s="54"/>
      <c r="E76" s="54"/>
      <c r="F76" s="54"/>
      <c r="G76" s="54"/>
      <c r="H76" s="54"/>
      <c r="I76" s="54"/>
      <c r="J76" s="54"/>
      <c r="K76" s="54"/>
      <c r="L76" s="54"/>
      <c r="M76" s="54"/>
    </row>
    <row r="77" customFormat="false" ht="15" hidden="false" customHeight="false" outlineLevel="0" collapsed="false">
      <c r="A77" s="53" t="s">
        <v>105</v>
      </c>
      <c r="B77" s="54"/>
      <c r="C77" s="54"/>
      <c r="D77" s="54"/>
      <c r="E77" s="54"/>
      <c r="F77" s="54"/>
      <c r="G77" s="54"/>
      <c r="H77" s="54"/>
      <c r="I77" s="54"/>
      <c r="J77" s="54"/>
      <c r="K77" s="54"/>
      <c r="L77" s="54"/>
      <c r="M77" s="54"/>
    </row>
    <row r="78" customFormat="false" ht="15" hidden="false" customHeight="false" outlineLevel="0" collapsed="false">
      <c r="A78" s="53" t="s">
        <v>106</v>
      </c>
      <c r="B78" s="54"/>
      <c r="C78" s="54"/>
      <c r="D78" s="54"/>
      <c r="E78" s="54"/>
      <c r="F78" s="54"/>
      <c r="G78" s="54"/>
      <c r="H78" s="54"/>
      <c r="I78" s="54"/>
      <c r="J78" s="54"/>
      <c r="K78" s="54"/>
      <c r="L78" s="54"/>
      <c r="M78" s="54"/>
    </row>
    <row r="79" customFormat="false" ht="15" hidden="false" customHeight="false" outlineLevel="0" collapsed="false">
      <c r="A79" s="53" t="s">
        <v>107</v>
      </c>
      <c r="B79" s="54"/>
      <c r="C79" s="54"/>
      <c r="D79" s="54"/>
      <c r="E79" s="54"/>
      <c r="F79" s="54"/>
      <c r="G79" s="54"/>
      <c r="H79" s="54"/>
      <c r="I79" s="54"/>
      <c r="J79" s="54"/>
      <c r="K79" s="54"/>
      <c r="L79" s="54"/>
      <c r="M79" s="54"/>
    </row>
    <row r="80" customFormat="false" ht="15" hidden="false" customHeight="false" outlineLevel="0" collapsed="false">
      <c r="A80" s="53" t="s">
        <v>108</v>
      </c>
      <c r="B80" s="54"/>
      <c r="C80" s="54"/>
      <c r="D80" s="54"/>
      <c r="E80" s="54"/>
      <c r="F80" s="54"/>
      <c r="G80" s="54"/>
      <c r="H80" s="54"/>
      <c r="I80" s="54"/>
      <c r="J80" s="54"/>
      <c r="K80" s="54"/>
      <c r="L80" s="54"/>
      <c r="M80" s="54"/>
    </row>
    <row r="81" customFormat="false" ht="15" hidden="false" customHeight="false" outlineLevel="0" collapsed="false">
      <c r="A81" s="53" t="s">
        <v>109</v>
      </c>
      <c r="B81" s="54"/>
      <c r="C81" s="54"/>
      <c r="D81" s="54"/>
      <c r="E81" s="54"/>
      <c r="F81" s="54"/>
      <c r="G81" s="54"/>
      <c r="H81" s="54"/>
      <c r="I81" s="54"/>
      <c r="J81" s="54"/>
      <c r="K81" s="54"/>
      <c r="L81" s="54"/>
      <c r="M81" s="54"/>
    </row>
    <row r="82" customFormat="false" ht="15" hidden="false" customHeight="false" outlineLevel="0" collapsed="false">
      <c r="A82" s="53"/>
      <c r="B82" s="54"/>
      <c r="C82" s="54"/>
      <c r="D82" s="54"/>
      <c r="E82" s="54"/>
      <c r="F82" s="54"/>
      <c r="G82" s="54"/>
      <c r="H82" s="54"/>
      <c r="I82" s="54"/>
      <c r="J82" s="54"/>
      <c r="K82" s="54"/>
      <c r="L82" s="54"/>
      <c r="M82" s="54"/>
    </row>
    <row r="83" customFormat="false" ht="15" hidden="false" customHeight="false" outlineLevel="0" collapsed="false">
      <c r="A83" s="53"/>
      <c r="B83" s="54"/>
      <c r="C83" s="54"/>
      <c r="D83" s="54"/>
      <c r="E83" s="54"/>
      <c r="F83" s="54"/>
      <c r="G83" s="54"/>
      <c r="H83" s="54"/>
      <c r="I83" s="54"/>
      <c r="J83" s="54"/>
      <c r="K83" s="54"/>
      <c r="L83" s="54"/>
      <c r="M83" s="54"/>
    </row>
    <row r="84" customFormat="false" ht="15" hidden="false" customHeight="false" outlineLevel="0" collapsed="false">
      <c r="A84" s="40" t="s">
        <v>117</v>
      </c>
      <c r="B84" s="51" t="n">
        <f aca="false">SUM(B76:B83)</f>
        <v>0</v>
      </c>
      <c r="C84" s="51" t="n">
        <f aca="false">SUM(C76:C83)</f>
        <v>0</v>
      </c>
      <c r="D84" s="51" t="n">
        <f aca="false">SUM(D76:D83)</f>
        <v>0</v>
      </c>
      <c r="E84" s="51" t="n">
        <f aca="false">SUM(E76:E83)</f>
        <v>0</v>
      </c>
      <c r="F84" s="51" t="n">
        <f aca="false">SUM(F76:F83)</f>
        <v>0</v>
      </c>
      <c r="G84" s="51" t="n">
        <f aca="false">SUM(G76:G83)</f>
        <v>0</v>
      </c>
      <c r="H84" s="51" t="n">
        <f aca="false">SUM(H76:H83)</f>
        <v>0</v>
      </c>
      <c r="I84" s="51" t="n">
        <f aca="false">SUM(I76:I83)</f>
        <v>0</v>
      </c>
      <c r="J84" s="51" t="n">
        <f aca="false">SUM(J76:J83)</f>
        <v>0</v>
      </c>
      <c r="K84" s="51" t="n">
        <f aca="false">SUM(K76:K83)</f>
        <v>0</v>
      </c>
      <c r="L84" s="51" t="n">
        <f aca="false">SUM(L76:L83)</f>
        <v>0</v>
      </c>
      <c r="M84" s="51" t="n">
        <f aca="false">SUM(M76:M83)</f>
        <v>0</v>
      </c>
    </row>
    <row r="86" customFormat="false" ht="15" hidden="false" customHeight="false" outlineLevel="0" collapsed="false">
      <c r="A86" s="34" t="str">
        <f aca="false">"PowerBI data – previous period ("&amp;PrevLbl&amp;")"</f>
        <v>PowerBI data – previous period (P6)</v>
      </c>
      <c r="B86" s="35"/>
      <c r="C86" s="35"/>
      <c r="D86" s="35"/>
      <c r="E86" s="35"/>
      <c r="F86" s="35"/>
      <c r="G86" s="35"/>
      <c r="H86" s="35"/>
      <c r="I86" s="35"/>
      <c r="J86" s="35"/>
      <c r="K86" s="35"/>
      <c r="L86" s="35"/>
      <c r="M86" s="35"/>
    </row>
    <row r="87" customFormat="false" ht="30" hidden="false" customHeight="true" outlineLevel="0" collapsed="false">
      <c r="A87" s="36" t="s">
        <v>25</v>
      </c>
      <c r="B87" s="14" t="s">
        <v>42</v>
      </c>
      <c r="C87" s="14"/>
      <c r="D87" s="14" t="s">
        <v>43</v>
      </c>
      <c r="E87" s="14"/>
      <c r="F87" s="14" t="s">
        <v>44</v>
      </c>
      <c r="G87" s="14"/>
      <c r="H87" s="14" t="s">
        <v>45</v>
      </c>
      <c r="I87" s="14"/>
      <c r="J87" s="14" t="s">
        <v>46</v>
      </c>
      <c r="K87" s="14"/>
      <c r="L87" s="14" t="s">
        <v>47</v>
      </c>
      <c r="M87" s="14"/>
    </row>
    <row r="88" customFormat="false" ht="15" hidden="false" customHeight="false" outlineLevel="0" collapsed="false">
      <c r="A88" s="36"/>
      <c r="B88" s="48" t="s">
        <v>81</v>
      </c>
      <c r="C88" s="48" t="s">
        <v>82</v>
      </c>
      <c r="D88" s="48" t="s">
        <v>81</v>
      </c>
      <c r="E88" s="48" t="s">
        <v>82</v>
      </c>
      <c r="F88" s="48" t="s">
        <v>81</v>
      </c>
      <c r="G88" s="48" t="s">
        <v>82</v>
      </c>
      <c r="H88" s="48" t="s">
        <v>81</v>
      </c>
      <c r="I88" s="48" t="s">
        <v>82</v>
      </c>
      <c r="J88" s="48" t="s">
        <v>81</v>
      </c>
      <c r="K88" s="48" t="s">
        <v>82</v>
      </c>
      <c r="L88" s="48" t="s">
        <v>81</v>
      </c>
      <c r="M88" s="48" t="s">
        <v>82</v>
      </c>
    </row>
    <row r="89" customFormat="false" ht="15" hidden="false" customHeight="false" outlineLevel="0" collapsed="false">
      <c r="A89" s="49" t="str">
        <f aca="false">IF($A$76="","",$A$76)</f>
        <v>Project 1</v>
      </c>
      <c r="B89" s="54"/>
      <c r="C89" s="54"/>
      <c r="D89" s="54"/>
      <c r="E89" s="54"/>
      <c r="F89" s="54"/>
      <c r="G89" s="54"/>
      <c r="H89" s="54"/>
      <c r="I89" s="54"/>
      <c r="J89" s="54"/>
      <c r="K89" s="54"/>
      <c r="L89" s="54"/>
      <c r="M89" s="54"/>
    </row>
    <row r="90" customFormat="false" ht="15" hidden="false" customHeight="false" outlineLevel="0" collapsed="false">
      <c r="A90" s="49" t="str">
        <f aca="false">IF($A$77="","",$A$77)</f>
        <v>Project 2</v>
      </c>
      <c r="B90" s="54"/>
      <c r="C90" s="54"/>
      <c r="D90" s="54"/>
      <c r="E90" s="54"/>
      <c r="F90" s="54"/>
      <c r="G90" s="54"/>
      <c r="H90" s="54"/>
      <c r="I90" s="54"/>
      <c r="J90" s="54"/>
      <c r="K90" s="54"/>
      <c r="L90" s="54"/>
      <c r="M90" s="54"/>
    </row>
    <row r="91" customFormat="false" ht="15" hidden="false" customHeight="false" outlineLevel="0" collapsed="false">
      <c r="A91" s="49" t="str">
        <f aca="false">IF($A$78="","",$A$78)</f>
        <v>Project 3</v>
      </c>
      <c r="B91" s="54"/>
      <c r="C91" s="54"/>
      <c r="D91" s="54"/>
      <c r="E91" s="54"/>
      <c r="F91" s="54"/>
      <c r="G91" s="54"/>
      <c r="H91" s="54"/>
      <c r="I91" s="54"/>
      <c r="J91" s="54"/>
      <c r="K91" s="54"/>
      <c r="L91" s="54"/>
      <c r="M91" s="54"/>
    </row>
    <row r="92" customFormat="false" ht="15" hidden="false" customHeight="false" outlineLevel="0" collapsed="false">
      <c r="A92" s="49" t="str">
        <f aca="false">IF($A$79="","",$A$79)</f>
        <v>Project 4</v>
      </c>
      <c r="B92" s="54"/>
      <c r="C92" s="54"/>
      <c r="D92" s="54"/>
      <c r="E92" s="54"/>
      <c r="F92" s="54"/>
      <c r="G92" s="54"/>
      <c r="H92" s="54"/>
      <c r="I92" s="54"/>
      <c r="J92" s="54"/>
      <c r="K92" s="54"/>
      <c r="L92" s="54"/>
      <c r="M92" s="54"/>
    </row>
    <row r="93" customFormat="false" ht="15" hidden="false" customHeight="false" outlineLevel="0" collapsed="false">
      <c r="A93" s="49" t="str">
        <f aca="false">IF($A$80="","",$A$80)</f>
        <v>Project 5</v>
      </c>
      <c r="B93" s="54"/>
      <c r="C93" s="54"/>
      <c r="D93" s="54"/>
      <c r="E93" s="54"/>
      <c r="F93" s="54"/>
      <c r="G93" s="54"/>
      <c r="H93" s="54"/>
      <c r="I93" s="54"/>
      <c r="J93" s="54"/>
      <c r="K93" s="54"/>
      <c r="L93" s="54"/>
      <c r="M93" s="54"/>
    </row>
    <row r="94" customFormat="false" ht="15" hidden="false" customHeight="false" outlineLevel="0" collapsed="false">
      <c r="A94" s="49" t="str">
        <f aca="false">IF($A$81="","",$A$81)</f>
        <v>Project 6</v>
      </c>
      <c r="B94" s="54"/>
      <c r="C94" s="54"/>
      <c r="D94" s="54"/>
      <c r="E94" s="54"/>
      <c r="F94" s="54"/>
      <c r="G94" s="54"/>
      <c r="H94" s="54"/>
      <c r="I94" s="54"/>
      <c r="J94" s="54"/>
      <c r="K94" s="54"/>
      <c r="L94" s="54"/>
      <c r="M94" s="54"/>
    </row>
    <row r="95" customFormat="false" ht="15" hidden="false" customHeight="false" outlineLevel="0" collapsed="false">
      <c r="A95" s="49" t="str">
        <f aca="false">IF($A$82="","",$A$82)</f>
        <v/>
      </c>
      <c r="B95" s="54"/>
      <c r="C95" s="54"/>
      <c r="D95" s="54"/>
      <c r="E95" s="54"/>
      <c r="F95" s="54"/>
      <c r="G95" s="54"/>
      <c r="H95" s="54"/>
      <c r="I95" s="54"/>
      <c r="J95" s="54"/>
      <c r="K95" s="54"/>
      <c r="L95" s="54"/>
      <c r="M95" s="54"/>
    </row>
    <row r="96" customFormat="false" ht="15" hidden="false" customHeight="false" outlineLevel="0" collapsed="false">
      <c r="A96" s="49" t="str">
        <f aca="false">IF($A$83="","",$A$83)</f>
        <v/>
      </c>
      <c r="B96" s="54"/>
      <c r="C96" s="54"/>
      <c r="D96" s="54"/>
      <c r="E96" s="54"/>
      <c r="F96" s="54"/>
      <c r="G96" s="54"/>
      <c r="H96" s="54"/>
      <c r="I96" s="54"/>
      <c r="J96" s="54"/>
      <c r="K96" s="54"/>
      <c r="L96" s="54"/>
      <c r="M96" s="54"/>
    </row>
    <row r="97" customFormat="false" ht="15" hidden="false" customHeight="false" outlineLevel="0" collapsed="false">
      <c r="A97" s="40" t="s">
        <v>117</v>
      </c>
      <c r="B97" s="51" t="n">
        <f aca="false">SUM(B89:B96)</f>
        <v>0</v>
      </c>
      <c r="C97" s="51" t="n">
        <f aca="false">SUM(C89:C96)</f>
        <v>0</v>
      </c>
      <c r="D97" s="51" t="n">
        <f aca="false">SUM(D89:D96)</f>
        <v>0</v>
      </c>
      <c r="E97" s="51" t="n">
        <f aca="false">SUM(E89:E96)</f>
        <v>0</v>
      </c>
      <c r="F97" s="51" t="n">
        <f aca="false">SUM(F89:F96)</f>
        <v>0</v>
      </c>
      <c r="G97" s="51" t="n">
        <f aca="false">SUM(G89:G96)</f>
        <v>0</v>
      </c>
      <c r="H97" s="51" t="n">
        <f aca="false">SUM(H89:H96)</f>
        <v>0</v>
      </c>
      <c r="I97" s="51" t="n">
        <f aca="false">SUM(I89:I96)</f>
        <v>0</v>
      </c>
      <c r="J97" s="51" t="n">
        <f aca="false">SUM(J89:J96)</f>
        <v>0</v>
      </c>
      <c r="K97" s="51" t="n">
        <f aca="false">SUM(K89:K96)</f>
        <v>0</v>
      </c>
      <c r="L97" s="51" t="n">
        <f aca="false">SUM(L89:L96)</f>
        <v>0</v>
      </c>
      <c r="M97" s="51" t="n">
        <f aca="false">SUM(M89:M96)</f>
        <v>0</v>
      </c>
    </row>
    <row r="99" customFormat="false" ht="15" hidden="false" customHeight="false" outlineLevel="0" collapsed="false">
      <c r="A99" s="34" t="str">
        <f aca="false">"Quality Performance – current period ("&amp;CurLbl&amp;")"</f>
        <v>Quality Performance – current period (P7)</v>
      </c>
      <c r="B99" s="35"/>
      <c r="C99" s="35"/>
      <c r="D99" s="35"/>
      <c r="E99" s="35"/>
      <c r="F99" s="35"/>
      <c r="G99" s="35"/>
      <c r="H99" s="35"/>
      <c r="I99" s="35"/>
      <c r="J99" s="35"/>
      <c r="K99" s="35"/>
      <c r="L99" s="35"/>
      <c r="M99" s="35"/>
    </row>
    <row r="100" customFormat="false" ht="30" hidden="false" customHeight="true" outlineLevel="0" collapsed="false">
      <c r="A100" s="36" t="s">
        <v>25</v>
      </c>
      <c r="B100" s="14" t="s">
        <v>50</v>
      </c>
      <c r="C100" s="14"/>
      <c r="D100" s="14" t="s">
        <v>51</v>
      </c>
      <c r="E100" s="14"/>
      <c r="F100" s="14" t="s">
        <v>52</v>
      </c>
      <c r="G100" s="14"/>
      <c r="H100" s="14" t="s">
        <v>53</v>
      </c>
      <c r="I100" s="14"/>
    </row>
    <row r="101" customFormat="false" ht="15" hidden="false" customHeight="true" outlineLevel="0" collapsed="false">
      <c r="A101" s="36"/>
      <c r="B101" s="48" t="s">
        <v>83</v>
      </c>
      <c r="C101" s="48"/>
      <c r="D101" s="48" t="s">
        <v>81</v>
      </c>
      <c r="E101" s="48" t="s">
        <v>82</v>
      </c>
      <c r="F101" s="48" t="s">
        <v>81</v>
      </c>
      <c r="G101" s="48" t="s">
        <v>82</v>
      </c>
      <c r="H101" s="48" t="s">
        <v>81</v>
      </c>
      <c r="I101" s="48" t="s">
        <v>82</v>
      </c>
    </row>
    <row r="102" customFormat="false" ht="15" hidden="false" customHeight="false" outlineLevel="0" collapsed="false">
      <c r="A102" s="49" t="str">
        <f aca="false">IF($A$76="","",$A$76)</f>
        <v>Project 1</v>
      </c>
      <c r="B102" s="54"/>
      <c r="C102" s="54"/>
      <c r="D102" s="54"/>
      <c r="E102" s="54"/>
      <c r="F102" s="54"/>
      <c r="G102" s="54"/>
      <c r="H102" s="54"/>
      <c r="I102" s="54"/>
    </row>
    <row r="103" customFormat="false" ht="15" hidden="false" customHeight="false" outlineLevel="0" collapsed="false">
      <c r="A103" s="49" t="str">
        <f aca="false">IF($A$77="","",$A$77)</f>
        <v>Project 2</v>
      </c>
      <c r="B103" s="54"/>
      <c r="C103" s="54"/>
      <c r="D103" s="54"/>
      <c r="E103" s="54"/>
      <c r="F103" s="54"/>
      <c r="G103" s="54"/>
      <c r="H103" s="54"/>
      <c r="I103" s="54"/>
    </row>
    <row r="104" customFormat="false" ht="15" hidden="false" customHeight="false" outlineLevel="0" collapsed="false">
      <c r="A104" s="49" t="str">
        <f aca="false">IF($A$78="","",$A$78)</f>
        <v>Project 3</v>
      </c>
      <c r="B104" s="54"/>
      <c r="C104" s="54"/>
      <c r="D104" s="54"/>
      <c r="E104" s="54"/>
      <c r="F104" s="54"/>
      <c r="G104" s="54"/>
      <c r="H104" s="54"/>
      <c r="I104" s="54"/>
    </row>
    <row r="105" customFormat="false" ht="15" hidden="false" customHeight="false" outlineLevel="0" collapsed="false">
      <c r="A105" s="49" t="str">
        <f aca="false">IF($A$79="","",$A$79)</f>
        <v>Project 4</v>
      </c>
      <c r="B105" s="54"/>
      <c r="C105" s="54"/>
      <c r="D105" s="54"/>
      <c r="E105" s="54"/>
      <c r="F105" s="54"/>
      <c r="G105" s="54"/>
      <c r="H105" s="54"/>
      <c r="I105" s="54"/>
    </row>
    <row r="106" customFormat="false" ht="15" hidden="false" customHeight="false" outlineLevel="0" collapsed="false">
      <c r="A106" s="49" t="str">
        <f aca="false">IF($A$80="","",$A$80)</f>
        <v>Project 5</v>
      </c>
      <c r="B106" s="54"/>
      <c r="C106" s="54"/>
      <c r="D106" s="54"/>
      <c r="E106" s="54"/>
      <c r="F106" s="54"/>
      <c r="G106" s="54"/>
      <c r="H106" s="54"/>
      <c r="I106" s="54"/>
    </row>
    <row r="107" customFormat="false" ht="15" hidden="false" customHeight="false" outlineLevel="0" collapsed="false">
      <c r="A107" s="49" t="str">
        <f aca="false">IF($A$81="","",$A$81)</f>
        <v>Project 6</v>
      </c>
      <c r="B107" s="54"/>
      <c r="C107" s="54"/>
      <c r="D107" s="54"/>
      <c r="E107" s="54"/>
      <c r="F107" s="54"/>
      <c r="G107" s="54"/>
      <c r="H107" s="54"/>
      <c r="I107" s="54"/>
    </row>
    <row r="108" customFormat="false" ht="15" hidden="false" customHeight="false" outlineLevel="0" collapsed="false">
      <c r="A108" s="49" t="str">
        <f aca="false">IF($A$82="","",$A$82)</f>
        <v/>
      </c>
      <c r="B108" s="54"/>
      <c r="C108" s="54"/>
      <c r="D108" s="54"/>
      <c r="E108" s="54"/>
      <c r="F108" s="54"/>
      <c r="G108" s="54"/>
      <c r="H108" s="54"/>
      <c r="I108" s="54"/>
    </row>
    <row r="109" customFormat="false" ht="15" hidden="false" customHeight="false" outlineLevel="0" collapsed="false">
      <c r="A109" s="49" t="str">
        <f aca="false">IF($A$83="","",$A$83)</f>
        <v/>
      </c>
      <c r="B109" s="54"/>
      <c r="C109" s="54"/>
      <c r="D109" s="54"/>
      <c r="E109" s="54"/>
      <c r="F109" s="54"/>
      <c r="G109" s="54"/>
      <c r="H109" s="54"/>
      <c r="I109" s="54"/>
    </row>
    <row r="110" customFormat="false" ht="15" hidden="false" customHeight="false" outlineLevel="0" collapsed="false">
      <c r="A110" s="40" t="s">
        <v>117</v>
      </c>
      <c r="B110" s="51" t="str">
        <f aca="false">IF(COUNT(B102:B109)=0,"",SUM(B102:B109))</f>
        <v/>
      </c>
      <c r="C110" s="51"/>
      <c r="D110" s="51" t="n">
        <f aca="false">SUM(D102:D109)</f>
        <v>0</v>
      </c>
      <c r="E110" s="51" t="n">
        <f aca="false">SUM(E102:E109)</f>
        <v>0</v>
      </c>
      <c r="F110" s="51" t="n">
        <f aca="false">SUM(F102:F109)</f>
        <v>0</v>
      </c>
      <c r="G110" s="51" t="n">
        <f aca="false">SUM(G102:G109)</f>
        <v>0</v>
      </c>
      <c r="H110" s="51" t="n">
        <f aca="false">SUM(H102:H109)</f>
        <v>0</v>
      </c>
      <c r="I110" s="51" t="n">
        <f aca="false">SUM(I102:I109)</f>
        <v>0</v>
      </c>
    </row>
  </sheetData>
  <mergeCells count="202">
    <mergeCell ref="A2:H2"/>
    <mergeCell ref="I2:M2"/>
    <mergeCell ref="J3:M3"/>
    <mergeCell ref="B5:C5"/>
    <mergeCell ref="D5:E5"/>
    <mergeCell ref="F5:G5"/>
    <mergeCell ref="H5:I5"/>
    <mergeCell ref="J5:K5"/>
    <mergeCell ref="L5:M5"/>
    <mergeCell ref="B6:C6"/>
    <mergeCell ref="D6:E6"/>
    <mergeCell ref="F6:G6"/>
    <mergeCell ref="H6:I6"/>
    <mergeCell ref="J6:K6"/>
    <mergeCell ref="L6:M6"/>
    <mergeCell ref="B7:C7"/>
    <mergeCell ref="D7:E7"/>
    <mergeCell ref="F7:G7"/>
    <mergeCell ref="H7:I7"/>
    <mergeCell ref="J7:K7"/>
    <mergeCell ref="L7:M7"/>
    <mergeCell ref="B8:C8"/>
    <mergeCell ref="D8:E8"/>
    <mergeCell ref="F8:G8"/>
    <mergeCell ref="H8:I8"/>
    <mergeCell ref="J8:K8"/>
    <mergeCell ref="L8:M8"/>
    <mergeCell ref="B10:C10"/>
    <mergeCell ref="D10:E10"/>
    <mergeCell ref="F10:G10"/>
    <mergeCell ref="H10:I10"/>
    <mergeCell ref="J10:K10"/>
    <mergeCell ref="L10:M10"/>
    <mergeCell ref="B11:C11"/>
    <mergeCell ref="D11:E11"/>
    <mergeCell ref="F11:G11"/>
    <mergeCell ref="H11:I11"/>
    <mergeCell ref="J11:K11"/>
    <mergeCell ref="L11:M11"/>
    <mergeCell ref="B12:C12"/>
    <mergeCell ref="D12:E12"/>
    <mergeCell ref="F12:G12"/>
    <mergeCell ref="H12:I12"/>
    <mergeCell ref="J12:K12"/>
    <mergeCell ref="L12:M12"/>
    <mergeCell ref="B13:C13"/>
    <mergeCell ref="D13:E13"/>
    <mergeCell ref="F13:G13"/>
    <mergeCell ref="H13:I13"/>
    <mergeCell ref="J13:K13"/>
    <mergeCell ref="L13:M13"/>
    <mergeCell ref="B16:C16"/>
    <mergeCell ref="D16:E16"/>
    <mergeCell ref="F16:G16"/>
    <mergeCell ref="H16:I16"/>
    <mergeCell ref="J16:M16"/>
    <mergeCell ref="B17:C17"/>
    <mergeCell ref="D17:E17"/>
    <mergeCell ref="F17:G17"/>
    <mergeCell ref="H17:I17"/>
    <mergeCell ref="J17:M32"/>
    <mergeCell ref="B18:C18"/>
    <mergeCell ref="D18:E18"/>
    <mergeCell ref="F18:G18"/>
    <mergeCell ref="H18:I18"/>
    <mergeCell ref="B19:C19"/>
    <mergeCell ref="D19:E19"/>
    <mergeCell ref="F19:G19"/>
    <mergeCell ref="H19:I19"/>
    <mergeCell ref="B20:C20"/>
    <mergeCell ref="D20:E20"/>
    <mergeCell ref="F20:G20"/>
    <mergeCell ref="H20:I20"/>
    <mergeCell ref="B23:C23"/>
    <mergeCell ref="D23:E23"/>
    <mergeCell ref="F23:G23"/>
    <mergeCell ref="H23:I23"/>
    <mergeCell ref="B24:C24"/>
    <mergeCell ref="D24:E24"/>
    <mergeCell ref="F24:G24"/>
    <mergeCell ref="H24:I24"/>
    <mergeCell ref="B25:C25"/>
    <mergeCell ref="D25:E25"/>
    <mergeCell ref="F25:G25"/>
    <mergeCell ref="H25:I25"/>
    <mergeCell ref="B26:C26"/>
    <mergeCell ref="D26:E26"/>
    <mergeCell ref="F26:G26"/>
    <mergeCell ref="H26:I26"/>
    <mergeCell ref="B27:C27"/>
    <mergeCell ref="D27:E27"/>
    <mergeCell ref="F27:G27"/>
    <mergeCell ref="H27:I27"/>
    <mergeCell ref="B28:C28"/>
    <mergeCell ref="D28:E28"/>
    <mergeCell ref="F28:G28"/>
    <mergeCell ref="H28:I28"/>
    <mergeCell ref="B29:C29"/>
    <mergeCell ref="D29:E29"/>
    <mergeCell ref="F29:G29"/>
    <mergeCell ref="H29:I29"/>
    <mergeCell ref="B30:C30"/>
    <mergeCell ref="D30:E30"/>
    <mergeCell ref="F30:G30"/>
    <mergeCell ref="H30:I30"/>
    <mergeCell ref="B31:C31"/>
    <mergeCell ref="D31:E31"/>
    <mergeCell ref="F31:G31"/>
    <mergeCell ref="H31:I31"/>
    <mergeCell ref="B32:C32"/>
    <mergeCell ref="D32:E32"/>
    <mergeCell ref="F32:G32"/>
    <mergeCell ref="H32:I32"/>
    <mergeCell ref="B35:D35"/>
    <mergeCell ref="E35:G35"/>
    <mergeCell ref="H35:J35"/>
    <mergeCell ref="K35:M35"/>
    <mergeCell ref="B36:D36"/>
    <mergeCell ref="E36:G36"/>
    <mergeCell ref="H36:J36"/>
    <mergeCell ref="K36:M36"/>
    <mergeCell ref="B37:D37"/>
    <mergeCell ref="E37:G37"/>
    <mergeCell ref="H37:J37"/>
    <mergeCell ref="K37:M37"/>
    <mergeCell ref="B38:D38"/>
    <mergeCell ref="E38:G38"/>
    <mergeCell ref="H38:J38"/>
    <mergeCell ref="K38:M38"/>
    <mergeCell ref="B39:D39"/>
    <mergeCell ref="E39:G39"/>
    <mergeCell ref="H39:J39"/>
    <mergeCell ref="K39:M39"/>
    <mergeCell ref="B40:D40"/>
    <mergeCell ref="E40:G40"/>
    <mergeCell ref="H40:J40"/>
    <mergeCell ref="K40:M40"/>
    <mergeCell ref="B41:D41"/>
    <mergeCell ref="E41:G41"/>
    <mergeCell ref="H41:J41"/>
    <mergeCell ref="K41:M41"/>
    <mergeCell ref="B42:D42"/>
    <mergeCell ref="E42:G42"/>
    <mergeCell ref="H42:J42"/>
    <mergeCell ref="K42:M42"/>
    <mergeCell ref="B43:D43"/>
    <mergeCell ref="E43:G43"/>
    <mergeCell ref="H43:J43"/>
    <mergeCell ref="K43:M43"/>
    <mergeCell ref="B44:D44"/>
    <mergeCell ref="E44:G44"/>
    <mergeCell ref="H44:J44"/>
    <mergeCell ref="K44:M44"/>
    <mergeCell ref="B48:C48"/>
    <mergeCell ref="D48:E48"/>
    <mergeCell ref="F48:G48"/>
    <mergeCell ref="H48:I48"/>
    <mergeCell ref="J48:K48"/>
    <mergeCell ref="L48:M48"/>
    <mergeCell ref="B59:C59"/>
    <mergeCell ref="D59:E59"/>
    <mergeCell ref="F59:G59"/>
    <mergeCell ref="H59:I59"/>
    <mergeCell ref="B60:C60"/>
    <mergeCell ref="B61:C61"/>
    <mergeCell ref="B62:C62"/>
    <mergeCell ref="B63:C63"/>
    <mergeCell ref="B64:C64"/>
    <mergeCell ref="B65:C65"/>
    <mergeCell ref="B66:C66"/>
    <mergeCell ref="B67:C67"/>
    <mergeCell ref="B68:C68"/>
    <mergeCell ref="A71:M71"/>
    <mergeCell ref="A74:A75"/>
    <mergeCell ref="B74:C74"/>
    <mergeCell ref="D74:E74"/>
    <mergeCell ref="F74:G74"/>
    <mergeCell ref="H74:I74"/>
    <mergeCell ref="J74:K74"/>
    <mergeCell ref="L74:M74"/>
    <mergeCell ref="A87:A88"/>
    <mergeCell ref="B87:C87"/>
    <mergeCell ref="D87:E87"/>
    <mergeCell ref="F87:G87"/>
    <mergeCell ref="H87:I87"/>
    <mergeCell ref="J87:K87"/>
    <mergeCell ref="L87:M87"/>
    <mergeCell ref="A100:A101"/>
    <mergeCell ref="B100:C100"/>
    <mergeCell ref="D100:E100"/>
    <mergeCell ref="F100:G100"/>
    <mergeCell ref="H100:I100"/>
    <mergeCell ref="B101:C101"/>
    <mergeCell ref="B102:C102"/>
    <mergeCell ref="B103:C103"/>
    <mergeCell ref="B104:C104"/>
    <mergeCell ref="B105:C105"/>
    <mergeCell ref="B106:C106"/>
    <mergeCell ref="B107:C107"/>
    <mergeCell ref="B108:C108"/>
    <mergeCell ref="B109:C109"/>
    <mergeCell ref="B110:C110"/>
  </mergeCells>
  <conditionalFormatting sqref="B76">
    <cfRule type="expression" priority="2" aboveAverage="0" equalAverage="0" bottom="0" percent="0" rank="0" text="" dxfId="0">
      <formula>AND(ISNUMBER(B76),ISNUMBER(C76),B76&gt;C76)</formula>
    </cfRule>
  </conditionalFormatting>
  <conditionalFormatting sqref="D76">
    <cfRule type="expression" priority="3" aboveAverage="0" equalAverage="0" bottom="0" percent="0" rank="0" text="" dxfId="0">
      <formula>AND(ISNUMBER(D76),ISNUMBER(E76),D76&gt;E76)</formula>
    </cfRule>
  </conditionalFormatting>
  <conditionalFormatting sqref="F76">
    <cfRule type="expression" priority="4" aboveAverage="0" equalAverage="0" bottom="0" percent="0" rank="0" text="" dxfId="0">
      <formula>AND(ISNUMBER(F76),ISNUMBER(G76),F76&gt;G76)</formula>
    </cfRule>
  </conditionalFormatting>
  <conditionalFormatting sqref="H76">
    <cfRule type="expression" priority="5" aboveAverage="0" equalAverage="0" bottom="0" percent="0" rank="0" text="" dxfId="0">
      <formula>AND(ISNUMBER(H76),ISNUMBER(I76),H76&gt;I76)</formula>
    </cfRule>
  </conditionalFormatting>
  <conditionalFormatting sqref="J76">
    <cfRule type="expression" priority="6" aboveAverage="0" equalAverage="0" bottom="0" percent="0" rank="0" text="" dxfId="0">
      <formula>AND(ISNUMBER(J76),ISNUMBER(K76),J76&gt;K76)</formula>
    </cfRule>
  </conditionalFormatting>
  <conditionalFormatting sqref="L76">
    <cfRule type="expression" priority="7" aboveAverage="0" equalAverage="0" bottom="0" percent="0" rank="0" text="" dxfId="0">
      <formula>AND(ISNUMBER(L76),ISNUMBER(M76),L76&gt;M76)</formula>
    </cfRule>
  </conditionalFormatting>
  <conditionalFormatting sqref="B77">
    <cfRule type="expression" priority="8" aboveAverage="0" equalAverage="0" bottom="0" percent="0" rank="0" text="" dxfId="0">
      <formula>AND(ISNUMBER(B77),ISNUMBER(C77),B77&gt;C77)</formula>
    </cfRule>
  </conditionalFormatting>
  <conditionalFormatting sqref="D77">
    <cfRule type="expression" priority="9" aboveAverage="0" equalAverage="0" bottom="0" percent="0" rank="0" text="" dxfId="0">
      <formula>AND(ISNUMBER(D77),ISNUMBER(E77),D77&gt;E77)</formula>
    </cfRule>
  </conditionalFormatting>
  <conditionalFormatting sqref="F77">
    <cfRule type="expression" priority="10" aboveAverage="0" equalAverage="0" bottom="0" percent="0" rank="0" text="" dxfId="0">
      <formula>AND(ISNUMBER(F77),ISNUMBER(G77),F77&gt;G77)</formula>
    </cfRule>
  </conditionalFormatting>
  <conditionalFormatting sqref="H77">
    <cfRule type="expression" priority="11" aboveAverage="0" equalAverage="0" bottom="0" percent="0" rank="0" text="" dxfId="0">
      <formula>AND(ISNUMBER(H77),ISNUMBER(I77),H77&gt;I77)</formula>
    </cfRule>
  </conditionalFormatting>
  <conditionalFormatting sqref="J77">
    <cfRule type="expression" priority="12" aboveAverage="0" equalAverage="0" bottom="0" percent="0" rank="0" text="" dxfId="0">
      <formula>AND(ISNUMBER(J77),ISNUMBER(K77),J77&gt;K77)</formula>
    </cfRule>
  </conditionalFormatting>
  <conditionalFormatting sqref="L77">
    <cfRule type="expression" priority="13" aboveAverage="0" equalAverage="0" bottom="0" percent="0" rank="0" text="" dxfId="0">
      <formula>AND(ISNUMBER(L77),ISNUMBER(M77),L77&gt;M77)</formula>
    </cfRule>
  </conditionalFormatting>
  <conditionalFormatting sqref="B78">
    <cfRule type="expression" priority="14" aboveAverage="0" equalAverage="0" bottom="0" percent="0" rank="0" text="" dxfId="0">
      <formula>AND(ISNUMBER(B78),ISNUMBER(C78),B78&gt;C78)</formula>
    </cfRule>
  </conditionalFormatting>
  <conditionalFormatting sqref="D78">
    <cfRule type="expression" priority="15" aboveAverage="0" equalAverage="0" bottom="0" percent="0" rank="0" text="" dxfId="0">
      <formula>AND(ISNUMBER(D78),ISNUMBER(E78),D78&gt;E78)</formula>
    </cfRule>
  </conditionalFormatting>
  <conditionalFormatting sqref="F78">
    <cfRule type="expression" priority="16" aboveAverage="0" equalAverage="0" bottom="0" percent="0" rank="0" text="" dxfId="0">
      <formula>AND(ISNUMBER(F78),ISNUMBER(G78),F78&gt;G78)</formula>
    </cfRule>
  </conditionalFormatting>
  <conditionalFormatting sqref="H78">
    <cfRule type="expression" priority="17" aboveAverage="0" equalAverage="0" bottom="0" percent="0" rank="0" text="" dxfId="0">
      <formula>AND(ISNUMBER(H78),ISNUMBER(I78),H78&gt;I78)</formula>
    </cfRule>
  </conditionalFormatting>
  <conditionalFormatting sqref="J78">
    <cfRule type="expression" priority="18" aboveAverage="0" equalAverage="0" bottom="0" percent="0" rank="0" text="" dxfId="0">
      <formula>AND(ISNUMBER(J78),ISNUMBER(K78),J78&gt;K78)</formula>
    </cfRule>
  </conditionalFormatting>
  <conditionalFormatting sqref="L78">
    <cfRule type="expression" priority="19" aboveAverage="0" equalAverage="0" bottom="0" percent="0" rank="0" text="" dxfId="0">
      <formula>AND(ISNUMBER(L78),ISNUMBER(M78),L78&gt;M78)</formula>
    </cfRule>
  </conditionalFormatting>
  <conditionalFormatting sqref="B79">
    <cfRule type="expression" priority="20" aboveAverage="0" equalAverage="0" bottom="0" percent="0" rank="0" text="" dxfId="0">
      <formula>AND(ISNUMBER(B79),ISNUMBER(C79),B79&gt;C79)</formula>
    </cfRule>
  </conditionalFormatting>
  <conditionalFormatting sqref="D79">
    <cfRule type="expression" priority="21" aboveAverage="0" equalAverage="0" bottom="0" percent="0" rank="0" text="" dxfId="0">
      <formula>AND(ISNUMBER(D79),ISNUMBER(E79),D79&gt;E79)</formula>
    </cfRule>
  </conditionalFormatting>
  <conditionalFormatting sqref="F79">
    <cfRule type="expression" priority="22" aboveAverage="0" equalAverage="0" bottom="0" percent="0" rank="0" text="" dxfId="0">
      <formula>AND(ISNUMBER(F79),ISNUMBER(G79),F79&gt;G79)</formula>
    </cfRule>
  </conditionalFormatting>
  <conditionalFormatting sqref="H79">
    <cfRule type="expression" priority="23" aboveAverage="0" equalAverage="0" bottom="0" percent="0" rank="0" text="" dxfId="0">
      <formula>AND(ISNUMBER(H79),ISNUMBER(I79),H79&gt;I79)</formula>
    </cfRule>
  </conditionalFormatting>
  <conditionalFormatting sqref="J79">
    <cfRule type="expression" priority="24" aboveAverage="0" equalAverage="0" bottom="0" percent="0" rank="0" text="" dxfId="0">
      <formula>AND(ISNUMBER(J79),ISNUMBER(K79),J79&gt;K79)</formula>
    </cfRule>
  </conditionalFormatting>
  <conditionalFormatting sqref="L79">
    <cfRule type="expression" priority="25" aboveAverage="0" equalAverage="0" bottom="0" percent="0" rank="0" text="" dxfId="0">
      <formula>AND(ISNUMBER(L79),ISNUMBER(M79),L79&gt;M79)</formula>
    </cfRule>
  </conditionalFormatting>
  <conditionalFormatting sqref="B80">
    <cfRule type="expression" priority="26" aboveAverage="0" equalAverage="0" bottom="0" percent="0" rank="0" text="" dxfId="0">
      <formula>AND(ISNUMBER(B80),ISNUMBER(C80),B80&gt;C80)</formula>
    </cfRule>
  </conditionalFormatting>
  <conditionalFormatting sqref="D80">
    <cfRule type="expression" priority="27" aboveAverage="0" equalAverage="0" bottom="0" percent="0" rank="0" text="" dxfId="0">
      <formula>AND(ISNUMBER(D80),ISNUMBER(E80),D80&gt;E80)</formula>
    </cfRule>
  </conditionalFormatting>
  <conditionalFormatting sqref="F80">
    <cfRule type="expression" priority="28" aboveAverage="0" equalAverage="0" bottom="0" percent="0" rank="0" text="" dxfId="0">
      <formula>AND(ISNUMBER(F80),ISNUMBER(G80),F80&gt;G80)</formula>
    </cfRule>
  </conditionalFormatting>
  <conditionalFormatting sqref="H80">
    <cfRule type="expression" priority="29" aboveAverage="0" equalAverage="0" bottom="0" percent="0" rank="0" text="" dxfId="0">
      <formula>AND(ISNUMBER(H80),ISNUMBER(I80),H80&gt;I80)</formula>
    </cfRule>
  </conditionalFormatting>
  <conditionalFormatting sqref="J80">
    <cfRule type="expression" priority="30" aboveAverage="0" equalAverage="0" bottom="0" percent="0" rank="0" text="" dxfId="0">
      <formula>AND(ISNUMBER(J80),ISNUMBER(K80),J80&gt;K80)</formula>
    </cfRule>
  </conditionalFormatting>
  <conditionalFormatting sqref="L80">
    <cfRule type="expression" priority="31" aboveAverage="0" equalAverage="0" bottom="0" percent="0" rank="0" text="" dxfId="0">
      <formula>AND(ISNUMBER(L80),ISNUMBER(M80),L80&gt;M80)</formula>
    </cfRule>
  </conditionalFormatting>
  <conditionalFormatting sqref="B81">
    <cfRule type="expression" priority="32" aboveAverage="0" equalAverage="0" bottom="0" percent="0" rank="0" text="" dxfId="0">
      <formula>AND(ISNUMBER(B81),ISNUMBER(C81),B81&gt;C81)</formula>
    </cfRule>
  </conditionalFormatting>
  <conditionalFormatting sqref="D81">
    <cfRule type="expression" priority="33" aboveAverage="0" equalAverage="0" bottom="0" percent="0" rank="0" text="" dxfId="0">
      <formula>AND(ISNUMBER(D81),ISNUMBER(E81),D81&gt;E81)</formula>
    </cfRule>
  </conditionalFormatting>
  <conditionalFormatting sqref="F81">
    <cfRule type="expression" priority="34" aboveAverage="0" equalAverage="0" bottom="0" percent="0" rank="0" text="" dxfId="0">
      <formula>AND(ISNUMBER(F81),ISNUMBER(G81),F81&gt;G81)</formula>
    </cfRule>
  </conditionalFormatting>
  <conditionalFormatting sqref="H81">
    <cfRule type="expression" priority="35" aboveAverage="0" equalAverage="0" bottom="0" percent="0" rank="0" text="" dxfId="0">
      <formula>AND(ISNUMBER(H81),ISNUMBER(I81),H81&gt;I81)</formula>
    </cfRule>
  </conditionalFormatting>
  <conditionalFormatting sqref="J81">
    <cfRule type="expression" priority="36" aboveAverage="0" equalAverage="0" bottom="0" percent="0" rank="0" text="" dxfId="0">
      <formula>AND(ISNUMBER(J81),ISNUMBER(K81),J81&gt;K81)</formula>
    </cfRule>
  </conditionalFormatting>
  <conditionalFormatting sqref="L81">
    <cfRule type="expression" priority="37" aboveAverage="0" equalAverage="0" bottom="0" percent="0" rank="0" text="" dxfId="0">
      <formula>AND(ISNUMBER(L81),ISNUMBER(M81),L81&gt;M81)</formula>
    </cfRule>
  </conditionalFormatting>
  <conditionalFormatting sqref="B82">
    <cfRule type="expression" priority="38" aboveAverage="0" equalAverage="0" bottom="0" percent="0" rank="0" text="" dxfId="0">
      <formula>AND(ISNUMBER(B82),ISNUMBER(C82),B82&gt;C82)</formula>
    </cfRule>
  </conditionalFormatting>
  <conditionalFormatting sqref="D82">
    <cfRule type="expression" priority="39" aboveAverage="0" equalAverage="0" bottom="0" percent="0" rank="0" text="" dxfId="0">
      <formula>AND(ISNUMBER(D82),ISNUMBER(E82),D82&gt;E82)</formula>
    </cfRule>
  </conditionalFormatting>
  <conditionalFormatting sqref="F82">
    <cfRule type="expression" priority="40" aboveAverage="0" equalAverage="0" bottom="0" percent="0" rank="0" text="" dxfId="0">
      <formula>AND(ISNUMBER(F82),ISNUMBER(G82),F82&gt;G82)</formula>
    </cfRule>
  </conditionalFormatting>
  <conditionalFormatting sqref="H82">
    <cfRule type="expression" priority="41" aboveAverage="0" equalAverage="0" bottom="0" percent="0" rank="0" text="" dxfId="0">
      <formula>AND(ISNUMBER(H82),ISNUMBER(I82),H82&gt;I82)</formula>
    </cfRule>
  </conditionalFormatting>
  <conditionalFormatting sqref="J82">
    <cfRule type="expression" priority="42" aboveAverage="0" equalAverage="0" bottom="0" percent="0" rank="0" text="" dxfId="0">
      <formula>AND(ISNUMBER(J82),ISNUMBER(K82),J82&gt;K82)</formula>
    </cfRule>
  </conditionalFormatting>
  <conditionalFormatting sqref="L82">
    <cfRule type="expression" priority="43" aboveAverage="0" equalAverage="0" bottom="0" percent="0" rank="0" text="" dxfId="0">
      <formula>AND(ISNUMBER(L82),ISNUMBER(M82),L82&gt;M82)</formula>
    </cfRule>
  </conditionalFormatting>
  <conditionalFormatting sqref="B83">
    <cfRule type="expression" priority="44" aboveAverage="0" equalAverage="0" bottom="0" percent="0" rank="0" text="" dxfId="0">
      <formula>AND(ISNUMBER(B83),ISNUMBER(C83),B83&gt;C83)</formula>
    </cfRule>
  </conditionalFormatting>
  <conditionalFormatting sqref="D83">
    <cfRule type="expression" priority="45" aboveAverage="0" equalAverage="0" bottom="0" percent="0" rank="0" text="" dxfId="0">
      <formula>AND(ISNUMBER(D83),ISNUMBER(E83),D83&gt;E83)</formula>
    </cfRule>
  </conditionalFormatting>
  <conditionalFormatting sqref="F83">
    <cfRule type="expression" priority="46" aboveAverage="0" equalAverage="0" bottom="0" percent="0" rank="0" text="" dxfId="0">
      <formula>AND(ISNUMBER(F83),ISNUMBER(G83),F83&gt;G83)</formula>
    </cfRule>
  </conditionalFormatting>
  <conditionalFormatting sqref="H83">
    <cfRule type="expression" priority="47" aboveAverage="0" equalAverage="0" bottom="0" percent="0" rank="0" text="" dxfId="0">
      <formula>AND(ISNUMBER(H83),ISNUMBER(I83),H83&gt;I83)</formula>
    </cfRule>
  </conditionalFormatting>
  <conditionalFormatting sqref="J83">
    <cfRule type="expression" priority="48" aboveAverage="0" equalAverage="0" bottom="0" percent="0" rank="0" text="" dxfId="0">
      <formula>AND(ISNUMBER(J83),ISNUMBER(K83),J83&gt;K83)</formula>
    </cfRule>
  </conditionalFormatting>
  <conditionalFormatting sqref="L83">
    <cfRule type="expression" priority="49" aboveAverage="0" equalAverage="0" bottom="0" percent="0" rank="0" text="" dxfId="0">
      <formula>AND(ISNUMBER(L83),ISNUMBER(M83),L83&gt;M83)</formula>
    </cfRule>
  </conditionalFormatting>
  <conditionalFormatting sqref="B89">
    <cfRule type="expression" priority="50" aboveAverage="0" equalAverage="0" bottom="0" percent="0" rank="0" text="" dxfId="0">
      <formula>AND(ISNUMBER(B89),ISNUMBER(C89),B89&gt;C89)</formula>
    </cfRule>
  </conditionalFormatting>
  <conditionalFormatting sqref="D89">
    <cfRule type="expression" priority="51" aboveAverage="0" equalAverage="0" bottom="0" percent="0" rank="0" text="" dxfId="0">
      <formula>AND(ISNUMBER(D89),ISNUMBER(E89),D89&gt;E89)</formula>
    </cfRule>
  </conditionalFormatting>
  <conditionalFormatting sqref="F89">
    <cfRule type="expression" priority="52" aboveAverage="0" equalAverage="0" bottom="0" percent="0" rank="0" text="" dxfId="0">
      <formula>AND(ISNUMBER(F89),ISNUMBER(G89),F89&gt;G89)</formula>
    </cfRule>
  </conditionalFormatting>
  <conditionalFormatting sqref="H89">
    <cfRule type="expression" priority="53" aboveAverage="0" equalAverage="0" bottom="0" percent="0" rank="0" text="" dxfId="0">
      <formula>AND(ISNUMBER(H89),ISNUMBER(I89),H89&gt;I89)</formula>
    </cfRule>
  </conditionalFormatting>
  <conditionalFormatting sqref="J89">
    <cfRule type="expression" priority="54" aboveAverage="0" equalAverage="0" bottom="0" percent="0" rank="0" text="" dxfId="0">
      <formula>AND(ISNUMBER(J89),ISNUMBER(K89),J89&gt;K89)</formula>
    </cfRule>
  </conditionalFormatting>
  <conditionalFormatting sqref="L89">
    <cfRule type="expression" priority="55" aboveAverage="0" equalAverage="0" bottom="0" percent="0" rank="0" text="" dxfId="0">
      <formula>AND(ISNUMBER(L89),ISNUMBER(M89),L89&gt;M89)</formula>
    </cfRule>
  </conditionalFormatting>
  <conditionalFormatting sqref="B90">
    <cfRule type="expression" priority="56" aboveAverage="0" equalAverage="0" bottom="0" percent="0" rank="0" text="" dxfId="0">
      <formula>AND(ISNUMBER(B90),ISNUMBER(C90),B90&gt;C90)</formula>
    </cfRule>
  </conditionalFormatting>
  <conditionalFormatting sqref="D90">
    <cfRule type="expression" priority="57" aboveAverage="0" equalAverage="0" bottom="0" percent="0" rank="0" text="" dxfId="0">
      <formula>AND(ISNUMBER(D90),ISNUMBER(E90),D90&gt;E90)</formula>
    </cfRule>
  </conditionalFormatting>
  <conditionalFormatting sqref="F90">
    <cfRule type="expression" priority="58" aboveAverage="0" equalAverage="0" bottom="0" percent="0" rank="0" text="" dxfId="0">
      <formula>AND(ISNUMBER(F90),ISNUMBER(G90),F90&gt;G90)</formula>
    </cfRule>
  </conditionalFormatting>
  <conditionalFormatting sqref="H90">
    <cfRule type="expression" priority="59" aboveAverage="0" equalAverage="0" bottom="0" percent="0" rank="0" text="" dxfId="0">
      <formula>AND(ISNUMBER(H90),ISNUMBER(I90),H90&gt;I90)</formula>
    </cfRule>
  </conditionalFormatting>
  <conditionalFormatting sqref="J90">
    <cfRule type="expression" priority="60" aboveAverage="0" equalAverage="0" bottom="0" percent="0" rank="0" text="" dxfId="0">
      <formula>AND(ISNUMBER(J90),ISNUMBER(K90),J90&gt;K90)</formula>
    </cfRule>
  </conditionalFormatting>
  <conditionalFormatting sqref="L90">
    <cfRule type="expression" priority="61" aboveAverage="0" equalAverage="0" bottom="0" percent="0" rank="0" text="" dxfId="0">
      <formula>AND(ISNUMBER(L90),ISNUMBER(M90),L90&gt;M90)</formula>
    </cfRule>
  </conditionalFormatting>
  <conditionalFormatting sqref="B91">
    <cfRule type="expression" priority="62" aboveAverage="0" equalAverage="0" bottom="0" percent="0" rank="0" text="" dxfId="0">
      <formula>AND(ISNUMBER(B91),ISNUMBER(C91),B91&gt;C91)</formula>
    </cfRule>
  </conditionalFormatting>
  <conditionalFormatting sqref="D91">
    <cfRule type="expression" priority="63" aboveAverage="0" equalAverage="0" bottom="0" percent="0" rank="0" text="" dxfId="0">
      <formula>AND(ISNUMBER(D91),ISNUMBER(E91),D91&gt;E91)</formula>
    </cfRule>
  </conditionalFormatting>
  <conditionalFormatting sqref="F91">
    <cfRule type="expression" priority="64" aboveAverage="0" equalAverage="0" bottom="0" percent="0" rank="0" text="" dxfId="0">
      <formula>AND(ISNUMBER(F91),ISNUMBER(G91),F91&gt;G91)</formula>
    </cfRule>
  </conditionalFormatting>
  <conditionalFormatting sqref="H91">
    <cfRule type="expression" priority="65" aboveAverage="0" equalAverage="0" bottom="0" percent="0" rank="0" text="" dxfId="0">
      <formula>AND(ISNUMBER(H91),ISNUMBER(I91),H91&gt;I91)</formula>
    </cfRule>
  </conditionalFormatting>
  <conditionalFormatting sqref="J91">
    <cfRule type="expression" priority="66" aboveAverage="0" equalAverage="0" bottom="0" percent="0" rank="0" text="" dxfId="0">
      <formula>AND(ISNUMBER(J91),ISNUMBER(K91),J91&gt;K91)</formula>
    </cfRule>
  </conditionalFormatting>
  <conditionalFormatting sqref="L91">
    <cfRule type="expression" priority="67" aboveAverage="0" equalAverage="0" bottom="0" percent="0" rank="0" text="" dxfId="0">
      <formula>AND(ISNUMBER(L91),ISNUMBER(M91),L91&gt;M91)</formula>
    </cfRule>
  </conditionalFormatting>
  <conditionalFormatting sqref="B92">
    <cfRule type="expression" priority="68" aboveAverage="0" equalAverage="0" bottom="0" percent="0" rank="0" text="" dxfId="0">
      <formula>AND(ISNUMBER(B92),ISNUMBER(C92),B92&gt;C92)</formula>
    </cfRule>
  </conditionalFormatting>
  <conditionalFormatting sqref="D92">
    <cfRule type="expression" priority="69" aboveAverage="0" equalAverage="0" bottom="0" percent="0" rank="0" text="" dxfId="0">
      <formula>AND(ISNUMBER(D92),ISNUMBER(E92),D92&gt;E92)</formula>
    </cfRule>
  </conditionalFormatting>
  <conditionalFormatting sqref="F92">
    <cfRule type="expression" priority="70" aboveAverage="0" equalAverage="0" bottom="0" percent="0" rank="0" text="" dxfId="0">
      <formula>AND(ISNUMBER(F92),ISNUMBER(G92),F92&gt;G92)</formula>
    </cfRule>
  </conditionalFormatting>
  <conditionalFormatting sqref="H92">
    <cfRule type="expression" priority="71" aboveAverage="0" equalAverage="0" bottom="0" percent="0" rank="0" text="" dxfId="0">
      <formula>AND(ISNUMBER(H92),ISNUMBER(I92),H92&gt;I92)</formula>
    </cfRule>
  </conditionalFormatting>
  <conditionalFormatting sqref="J92">
    <cfRule type="expression" priority="72" aboveAverage="0" equalAverage="0" bottom="0" percent="0" rank="0" text="" dxfId="0">
      <formula>AND(ISNUMBER(J92),ISNUMBER(K92),J92&gt;K92)</formula>
    </cfRule>
  </conditionalFormatting>
  <conditionalFormatting sqref="L92">
    <cfRule type="expression" priority="73" aboveAverage="0" equalAverage="0" bottom="0" percent="0" rank="0" text="" dxfId="0">
      <formula>AND(ISNUMBER(L92),ISNUMBER(M92),L92&gt;M92)</formula>
    </cfRule>
  </conditionalFormatting>
  <conditionalFormatting sqref="B93">
    <cfRule type="expression" priority="74" aboveAverage="0" equalAverage="0" bottom="0" percent="0" rank="0" text="" dxfId="0">
      <formula>AND(ISNUMBER(B93),ISNUMBER(C93),B93&gt;C93)</formula>
    </cfRule>
  </conditionalFormatting>
  <conditionalFormatting sqref="D93">
    <cfRule type="expression" priority="75" aboveAverage="0" equalAverage="0" bottom="0" percent="0" rank="0" text="" dxfId="0">
      <formula>AND(ISNUMBER(D93),ISNUMBER(E93),D93&gt;E93)</formula>
    </cfRule>
  </conditionalFormatting>
  <conditionalFormatting sqref="F93">
    <cfRule type="expression" priority="76" aboveAverage="0" equalAverage="0" bottom="0" percent="0" rank="0" text="" dxfId="0">
      <formula>AND(ISNUMBER(F93),ISNUMBER(G93),F93&gt;G93)</formula>
    </cfRule>
  </conditionalFormatting>
  <conditionalFormatting sqref="H93">
    <cfRule type="expression" priority="77" aboveAverage="0" equalAverage="0" bottom="0" percent="0" rank="0" text="" dxfId="0">
      <formula>AND(ISNUMBER(H93),ISNUMBER(I93),H93&gt;I93)</formula>
    </cfRule>
  </conditionalFormatting>
  <conditionalFormatting sqref="J93">
    <cfRule type="expression" priority="78" aboveAverage="0" equalAverage="0" bottom="0" percent="0" rank="0" text="" dxfId="0">
      <formula>AND(ISNUMBER(J93),ISNUMBER(K93),J93&gt;K93)</formula>
    </cfRule>
  </conditionalFormatting>
  <conditionalFormatting sqref="L93">
    <cfRule type="expression" priority="79" aboveAverage="0" equalAverage="0" bottom="0" percent="0" rank="0" text="" dxfId="0">
      <formula>AND(ISNUMBER(L93),ISNUMBER(M93),L93&gt;M93)</formula>
    </cfRule>
  </conditionalFormatting>
  <conditionalFormatting sqref="B94">
    <cfRule type="expression" priority="80" aboveAverage="0" equalAverage="0" bottom="0" percent="0" rank="0" text="" dxfId="0">
      <formula>AND(ISNUMBER(B94),ISNUMBER(C94),B94&gt;C94)</formula>
    </cfRule>
  </conditionalFormatting>
  <conditionalFormatting sqref="D94">
    <cfRule type="expression" priority="81" aboveAverage="0" equalAverage="0" bottom="0" percent="0" rank="0" text="" dxfId="0">
      <formula>AND(ISNUMBER(D94),ISNUMBER(E94),D94&gt;E94)</formula>
    </cfRule>
  </conditionalFormatting>
  <conditionalFormatting sqref="F94">
    <cfRule type="expression" priority="82" aboveAverage="0" equalAverage="0" bottom="0" percent="0" rank="0" text="" dxfId="0">
      <formula>AND(ISNUMBER(F94),ISNUMBER(G94),F94&gt;G94)</formula>
    </cfRule>
  </conditionalFormatting>
  <conditionalFormatting sqref="H94">
    <cfRule type="expression" priority="83" aboveAverage="0" equalAverage="0" bottom="0" percent="0" rank="0" text="" dxfId="0">
      <formula>AND(ISNUMBER(H94),ISNUMBER(I94),H94&gt;I94)</formula>
    </cfRule>
  </conditionalFormatting>
  <conditionalFormatting sqref="J94">
    <cfRule type="expression" priority="84" aboveAverage="0" equalAverage="0" bottom="0" percent="0" rank="0" text="" dxfId="0">
      <formula>AND(ISNUMBER(J94),ISNUMBER(K94),J94&gt;K94)</formula>
    </cfRule>
  </conditionalFormatting>
  <conditionalFormatting sqref="L94">
    <cfRule type="expression" priority="85" aboveAverage="0" equalAverage="0" bottom="0" percent="0" rank="0" text="" dxfId="0">
      <formula>AND(ISNUMBER(L94),ISNUMBER(M94),L94&gt;M94)</formula>
    </cfRule>
  </conditionalFormatting>
  <conditionalFormatting sqref="B95">
    <cfRule type="expression" priority="86" aboveAverage="0" equalAverage="0" bottom="0" percent="0" rank="0" text="" dxfId="0">
      <formula>AND(ISNUMBER(B95),ISNUMBER(C95),B95&gt;C95)</formula>
    </cfRule>
  </conditionalFormatting>
  <conditionalFormatting sqref="D95">
    <cfRule type="expression" priority="87" aboveAverage="0" equalAverage="0" bottom="0" percent="0" rank="0" text="" dxfId="0">
      <formula>AND(ISNUMBER(D95),ISNUMBER(E95),D95&gt;E95)</formula>
    </cfRule>
  </conditionalFormatting>
  <conditionalFormatting sqref="F95">
    <cfRule type="expression" priority="88" aboveAverage="0" equalAverage="0" bottom="0" percent="0" rank="0" text="" dxfId="0">
      <formula>AND(ISNUMBER(F95),ISNUMBER(G95),F95&gt;G95)</formula>
    </cfRule>
  </conditionalFormatting>
  <conditionalFormatting sqref="H95">
    <cfRule type="expression" priority="89" aboveAverage="0" equalAverage="0" bottom="0" percent="0" rank="0" text="" dxfId="0">
      <formula>AND(ISNUMBER(H95),ISNUMBER(I95),H95&gt;I95)</formula>
    </cfRule>
  </conditionalFormatting>
  <conditionalFormatting sqref="J95">
    <cfRule type="expression" priority="90" aboveAverage="0" equalAverage="0" bottom="0" percent="0" rank="0" text="" dxfId="0">
      <formula>AND(ISNUMBER(J95),ISNUMBER(K95),J95&gt;K95)</formula>
    </cfRule>
  </conditionalFormatting>
  <conditionalFormatting sqref="L95">
    <cfRule type="expression" priority="91" aboveAverage="0" equalAverage="0" bottom="0" percent="0" rank="0" text="" dxfId="0">
      <formula>AND(ISNUMBER(L95),ISNUMBER(M95),L95&gt;M95)</formula>
    </cfRule>
  </conditionalFormatting>
  <conditionalFormatting sqref="B96">
    <cfRule type="expression" priority="92" aboveAverage="0" equalAverage="0" bottom="0" percent="0" rank="0" text="" dxfId="0">
      <formula>AND(ISNUMBER(B96),ISNUMBER(C96),B96&gt;C96)</formula>
    </cfRule>
  </conditionalFormatting>
  <conditionalFormatting sqref="D96">
    <cfRule type="expression" priority="93" aboveAverage="0" equalAverage="0" bottom="0" percent="0" rank="0" text="" dxfId="0">
      <formula>AND(ISNUMBER(D96),ISNUMBER(E96),D96&gt;E96)</formula>
    </cfRule>
  </conditionalFormatting>
  <conditionalFormatting sqref="F96">
    <cfRule type="expression" priority="94" aboveAverage="0" equalAverage="0" bottom="0" percent="0" rank="0" text="" dxfId="0">
      <formula>AND(ISNUMBER(F96),ISNUMBER(G96),F96&gt;G96)</formula>
    </cfRule>
  </conditionalFormatting>
  <conditionalFormatting sqref="H96">
    <cfRule type="expression" priority="95" aboveAverage="0" equalAverage="0" bottom="0" percent="0" rank="0" text="" dxfId="0">
      <formula>AND(ISNUMBER(H96),ISNUMBER(I96),H96&gt;I96)</formula>
    </cfRule>
  </conditionalFormatting>
  <conditionalFormatting sqref="J96">
    <cfRule type="expression" priority="96" aboveAverage="0" equalAverage="0" bottom="0" percent="0" rank="0" text="" dxfId="0">
      <formula>AND(ISNUMBER(J96),ISNUMBER(K96),J96&gt;K96)</formula>
    </cfRule>
  </conditionalFormatting>
  <conditionalFormatting sqref="L96">
    <cfRule type="expression" priority="97" aboveAverage="0" equalAverage="0" bottom="0" percent="0" rank="0" text="" dxfId="0">
      <formula>AND(ISNUMBER(L96),ISNUMBER(M96),L96&gt;M96)</formula>
    </cfRule>
  </conditionalFormatting>
  <conditionalFormatting sqref="D102">
    <cfRule type="expression" priority="98" aboveAverage="0" equalAverage="0" bottom="0" percent="0" rank="0" text="" dxfId="0">
      <formula>AND(ISNUMBER(D102),ISNUMBER(E102),D102&gt;E102)</formula>
    </cfRule>
  </conditionalFormatting>
  <conditionalFormatting sqref="F102">
    <cfRule type="expression" priority="99" aboveAverage="0" equalAverage="0" bottom="0" percent="0" rank="0" text="" dxfId="0">
      <formula>AND(ISNUMBER(F102),ISNUMBER(G102),F102&gt;G102)</formula>
    </cfRule>
  </conditionalFormatting>
  <conditionalFormatting sqref="H102">
    <cfRule type="expression" priority="100" aboveAverage="0" equalAverage="0" bottom="0" percent="0" rank="0" text="" dxfId="0">
      <formula>AND(ISNUMBER(H102),ISNUMBER(I102),H102&gt;I102)</formula>
    </cfRule>
  </conditionalFormatting>
  <conditionalFormatting sqref="D103">
    <cfRule type="expression" priority="101" aboveAverage="0" equalAverage="0" bottom="0" percent="0" rank="0" text="" dxfId="0">
      <formula>AND(ISNUMBER(D103),ISNUMBER(E103),D103&gt;E103)</formula>
    </cfRule>
  </conditionalFormatting>
  <conditionalFormatting sqref="F103">
    <cfRule type="expression" priority="102" aboveAverage="0" equalAverage="0" bottom="0" percent="0" rank="0" text="" dxfId="0">
      <formula>AND(ISNUMBER(F103),ISNUMBER(G103),F103&gt;G103)</formula>
    </cfRule>
  </conditionalFormatting>
  <conditionalFormatting sqref="H103">
    <cfRule type="expression" priority="103" aboveAverage="0" equalAverage="0" bottom="0" percent="0" rank="0" text="" dxfId="0">
      <formula>AND(ISNUMBER(H103),ISNUMBER(I103),H103&gt;I103)</formula>
    </cfRule>
  </conditionalFormatting>
  <conditionalFormatting sqref="D104">
    <cfRule type="expression" priority="104" aboveAverage="0" equalAverage="0" bottom="0" percent="0" rank="0" text="" dxfId="0">
      <formula>AND(ISNUMBER(D104),ISNUMBER(E104),D104&gt;E104)</formula>
    </cfRule>
  </conditionalFormatting>
  <conditionalFormatting sqref="F104">
    <cfRule type="expression" priority="105" aboveAverage="0" equalAverage="0" bottom="0" percent="0" rank="0" text="" dxfId="0">
      <formula>AND(ISNUMBER(F104),ISNUMBER(G104),F104&gt;G104)</formula>
    </cfRule>
  </conditionalFormatting>
  <conditionalFormatting sqref="H104">
    <cfRule type="expression" priority="106" aboveAverage="0" equalAverage="0" bottom="0" percent="0" rank="0" text="" dxfId="0">
      <formula>AND(ISNUMBER(H104),ISNUMBER(I104),H104&gt;I104)</formula>
    </cfRule>
  </conditionalFormatting>
  <conditionalFormatting sqref="D105">
    <cfRule type="expression" priority="107" aboveAverage="0" equalAverage="0" bottom="0" percent="0" rank="0" text="" dxfId="0">
      <formula>AND(ISNUMBER(D105),ISNUMBER(E105),D105&gt;E105)</formula>
    </cfRule>
  </conditionalFormatting>
  <conditionalFormatting sqref="F105">
    <cfRule type="expression" priority="108" aboveAverage="0" equalAverage="0" bottom="0" percent="0" rank="0" text="" dxfId="0">
      <formula>AND(ISNUMBER(F105),ISNUMBER(G105),F105&gt;G105)</formula>
    </cfRule>
  </conditionalFormatting>
  <conditionalFormatting sqref="H105">
    <cfRule type="expression" priority="109" aboveAverage="0" equalAverage="0" bottom="0" percent="0" rank="0" text="" dxfId="0">
      <formula>AND(ISNUMBER(H105),ISNUMBER(I105),H105&gt;I105)</formula>
    </cfRule>
  </conditionalFormatting>
  <conditionalFormatting sqref="D106">
    <cfRule type="expression" priority="110" aboveAverage="0" equalAverage="0" bottom="0" percent="0" rank="0" text="" dxfId="0">
      <formula>AND(ISNUMBER(D106),ISNUMBER(E106),D106&gt;E106)</formula>
    </cfRule>
  </conditionalFormatting>
  <conditionalFormatting sqref="F106">
    <cfRule type="expression" priority="111" aboveAverage="0" equalAverage="0" bottom="0" percent="0" rank="0" text="" dxfId="0">
      <formula>AND(ISNUMBER(F106),ISNUMBER(G106),F106&gt;G106)</formula>
    </cfRule>
  </conditionalFormatting>
  <conditionalFormatting sqref="H106">
    <cfRule type="expression" priority="112" aboveAverage="0" equalAverage="0" bottom="0" percent="0" rank="0" text="" dxfId="0">
      <formula>AND(ISNUMBER(H106),ISNUMBER(I106),H106&gt;I106)</formula>
    </cfRule>
  </conditionalFormatting>
  <conditionalFormatting sqref="D107">
    <cfRule type="expression" priority="113" aboveAverage="0" equalAverage="0" bottom="0" percent="0" rank="0" text="" dxfId="0">
      <formula>AND(ISNUMBER(D107),ISNUMBER(E107),D107&gt;E107)</formula>
    </cfRule>
  </conditionalFormatting>
  <conditionalFormatting sqref="F107">
    <cfRule type="expression" priority="114" aboveAverage="0" equalAverage="0" bottom="0" percent="0" rank="0" text="" dxfId="0">
      <formula>AND(ISNUMBER(F107),ISNUMBER(G107),F107&gt;G107)</formula>
    </cfRule>
  </conditionalFormatting>
  <conditionalFormatting sqref="H107">
    <cfRule type="expression" priority="115" aboveAverage="0" equalAverage="0" bottom="0" percent="0" rank="0" text="" dxfId="0">
      <formula>AND(ISNUMBER(H107),ISNUMBER(I107),H107&gt;I107)</formula>
    </cfRule>
  </conditionalFormatting>
  <conditionalFormatting sqref="D108">
    <cfRule type="expression" priority="116" aboveAverage="0" equalAverage="0" bottom="0" percent="0" rank="0" text="" dxfId="0">
      <formula>AND(ISNUMBER(D108),ISNUMBER(E108),D108&gt;E108)</formula>
    </cfRule>
  </conditionalFormatting>
  <conditionalFormatting sqref="F108">
    <cfRule type="expression" priority="117" aboveAverage="0" equalAverage="0" bottom="0" percent="0" rank="0" text="" dxfId="0">
      <formula>AND(ISNUMBER(F108),ISNUMBER(G108),F108&gt;G108)</formula>
    </cfRule>
  </conditionalFormatting>
  <conditionalFormatting sqref="H108">
    <cfRule type="expression" priority="118" aboveAverage="0" equalAverage="0" bottom="0" percent="0" rank="0" text="" dxfId="0">
      <formula>AND(ISNUMBER(H108),ISNUMBER(I108),H108&gt;I108)</formula>
    </cfRule>
  </conditionalFormatting>
  <conditionalFormatting sqref="D109">
    <cfRule type="expression" priority="119" aboveAverage="0" equalAverage="0" bottom="0" percent="0" rank="0" text="" dxfId="0">
      <formula>AND(ISNUMBER(D109),ISNUMBER(E109),D109&gt;E109)</formula>
    </cfRule>
  </conditionalFormatting>
  <conditionalFormatting sqref="F109">
    <cfRule type="expression" priority="120" aboveAverage="0" equalAverage="0" bottom="0" percent="0" rank="0" text="" dxfId="0">
      <formula>AND(ISNUMBER(F109),ISNUMBER(G109),F109&gt;G109)</formula>
    </cfRule>
  </conditionalFormatting>
  <conditionalFormatting sqref="H109">
    <cfRule type="expression" priority="121" aboveAverage="0" equalAverage="0" bottom="0" percent="0" rank="0" text="" dxfId="0">
      <formula>AND(ISNUMBER(H109),ISNUMBER(I109),H109&gt;I109)</formula>
    </cfRule>
  </conditionalFormatting>
  <conditionalFormatting sqref="B6:C8">
    <cfRule type="expression" priority="122" aboveAverage="0" equalAverage="0" bottom="0" percent="0" rank="0" text="" dxfId="1">
      <formula>$B$8="Green"</formula>
    </cfRule>
    <cfRule type="expression" priority="123" aboveAverage="0" equalAverage="0" bottom="0" percent="0" rank="0" text="" dxfId="2">
      <formula>$B$8="Amber"</formula>
    </cfRule>
    <cfRule type="expression" priority="124" aboveAverage="0" equalAverage="0" bottom="0" percent="0" rank="0" text="" dxfId="0">
      <formula>$B$8="Red"</formula>
    </cfRule>
    <cfRule type="expression" priority="125" aboveAverage="0" equalAverage="0" bottom="0" percent="0" rank="0" text="" dxfId="3">
      <formula>$B$8="N/A"</formula>
    </cfRule>
  </conditionalFormatting>
  <conditionalFormatting sqref="B10:C12">
    <cfRule type="expression" priority="126" aboveAverage="0" equalAverage="0" bottom="0" percent="0" rank="0" text="" dxfId="1">
      <formula>$B$12="Green"</formula>
    </cfRule>
    <cfRule type="expression" priority="127" aboveAverage="0" equalAverage="0" bottom="0" percent="0" rank="0" text="" dxfId="2">
      <formula>$B$12="Amber"</formula>
    </cfRule>
    <cfRule type="expression" priority="128" aboveAverage="0" equalAverage="0" bottom="0" percent="0" rank="0" text="" dxfId="0">
      <formula>$B$12="Red"</formula>
    </cfRule>
    <cfRule type="expression" priority="129" aboveAverage="0" equalAverage="0" bottom="0" percent="0" rank="0" text="" dxfId="3">
      <formula>$B$12="N/A"</formula>
    </cfRule>
  </conditionalFormatting>
  <conditionalFormatting sqref="D6:E8">
    <cfRule type="expression" priority="130" aboveAverage="0" equalAverage="0" bottom="0" percent="0" rank="0" text="" dxfId="1">
      <formula>$D$8="Green"</formula>
    </cfRule>
    <cfRule type="expression" priority="131" aboveAverage="0" equalAverage="0" bottom="0" percent="0" rank="0" text="" dxfId="2">
      <formula>$D$8="Amber"</formula>
    </cfRule>
    <cfRule type="expression" priority="132" aboveAverage="0" equalAverage="0" bottom="0" percent="0" rank="0" text="" dxfId="0">
      <formula>$D$8="Red"</formula>
    </cfRule>
    <cfRule type="expression" priority="133" aboveAverage="0" equalAverage="0" bottom="0" percent="0" rank="0" text="" dxfId="3">
      <formula>$D$8="N/A"</formula>
    </cfRule>
  </conditionalFormatting>
  <conditionalFormatting sqref="D10:E12">
    <cfRule type="expression" priority="134" aboveAverage="0" equalAverage="0" bottom="0" percent="0" rank="0" text="" dxfId="1">
      <formula>$D$12="Green"</formula>
    </cfRule>
    <cfRule type="expression" priority="135" aboveAverage="0" equalAverage="0" bottom="0" percent="0" rank="0" text="" dxfId="2">
      <formula>$D$12="Amber"</formula>
    </cfRule>
    <cfRule type="expression" priority="136" aboveAverage="0" equalAverage="0" bottom="0" percent="0" rank="0" text="" dxfId="0">
      <formula>$D$12="Red"</formula>
    </cfRule>
    <cfRule type="expression" priority="137" aboveAverage="0" equalAverage="0" bottom="0" percent="0" rank="0" text="" dxfId="3">
      <formula>$D$12="N/A"</formula>
    </cfRule>
  </conditionalFormatting>
  <conditionalFormatting sqref="F6:G8">
    <cfRule type="expression" priority="138" aboveAverage="0" equalAverage="0" bottom="0" percent="0" rank="0" text="" dxfId="1">
      <formula>$F$8="Green"</formula>
    </cfRule>
    <cfRule type="expression" priority="139" aboveAverage="0" equalAverage="0" bottom="0" percent="0" rank="0" text="" dxfId="2">
      <formula>$F$8="Amber"</formula>
    </cfRule>
    <cfRule type="expression" priority="140" aboveAverage="0" equalAverage="0" bottom="0" percent="0" rank="0" text="" dxfId="0">
      <formula>$F$8="Red"</formula>
    </cfRule>
    <cfRule type="expression" priority="141" aboveAverage="0" equalAverage="0" bottom="0" percent="0" rank="0" text="" dxfId="3">
      <formula>$F$8="N/A"</formula>
    </cfRule>
  </conditionalFormatting>
  <conditionalFormatting sqref="F10:G12">
    <cfRule type="expression" priority="142" aboveAverage="0" equalAverage="0" bottom="0" percent="0" rank="0" text="" dxfId="1">
      <formula>$F$12="Green"</formula>
    </cfRule>
    <cfRule type="expression" priority="143" aboveAverage="0" equalAverage="0" bottom="0" percent="0" rank="0" text="" dxfId="2">
      <formula>$F$12="Amber"</formula>
    </cfRule>
    <cfRule type="expression" priority="144" aboveAverage="0" equalAverage="0" bottom="0" percent="0" rank="0" text="" dxfId="0">
      <formula>$F$12="Red"</formula>
    </cfRule>
    <cfRule type="expression" priority="145" aboveAverage="0" equalAverage="0" bottom="0" percent="0" rank="0" text="" dxfId="3">
      <formula>$F$12="N/A"</formula>
    </cfRule>
  </conditionalFormatting>
  <conditionalFormatting sqref="H6:I8">
    <cfRule type="expression" priority="146" aboveAverage="0" equalAverage="0" bottom="0" percent="0" rank="0" text="" dxfId="1">
      <formula>$H$8="Green"</formula>
    </cfRule>
    <cfRule type="expression" priority="147" aboveAverage="0" equalAverage="0" bottom="0" percent="0" rank="0" text="" dxfId="2">
      <formula>$H$8="Amber"</formula>
    </cfRule>
    <cfRule type="expression" priority="148" aboveAverage="0" equalAverage="0" bottom="0" percent="0" rank="0" text="" dxfId="0">
      <formula>$H$8="Red"</formula>
    </cfRule>
    <cfRule type="expression" priority="149" aboveAverage="0" equalAverage="0" bottom="0" percent="0" rank="0" text="" dxfId="3">
      <formula>$H$8="N/A"</formula>
    </cfRule>
  </conditionalFormatting>
  <conditionalFormatting sqref="H10:I12">
    <cfRule type="expression" priority="150" aboveAverage="0" equalAverage="0" bottom="0" percent="0" rank="0" text="" dxfId="1">
      <formula>$H$12="Green"</formula>
    </cfRule>
    <cfRule type="expression" priority="151" aboveAverage="0" equalAverage="0" bottom="0" percent="0" rank="0" text="" dxfId="2">
      <formula>$H$12="Amber"</formula>
    </cfRule>
    <cfRule type="expression" priority="152" aboveAverage="0" equalAverage="0" bottom="0" percent="0" rank="0" text="" dxfId="0">
      <formula>$H$12="Red"</formula>
    </cfRule>
    <cfRule type="expression" priority="153" aboveAverage="0" equalAverage="0" bottom="0" percent="0" rank="0" text="" dxfId="3">
      <formula>$H$12="N/A"</formula>
    </cfRule>
  </conditionalFormatting>
  <conditionalFormatting sqref="J6:K8">
    <cfRule type="expression" priority="154" aboveAverage="0" equalAverage="0" bottom="0" percent="0" rank="0" text="" dxfId="1">
      <formula>$J$8="Green"</formula>
    </cfRule>
    <cfRule type="expression" priority="155" aboveAverage="0" equalAverage="0" bottom="0" percent="0" rank="0" text="" dxfId="2">
      <formula>$J$8="Amber"</formula>
    </cfRule>
    <cfRule type="expression" priority="156" aboveAverage="0" equalAverage="0" bottom="0" percent="0" rank="0" text="" dxfId="0">
      <formula>$J$8="Red"</formula>
    </cfRule>
    <cfRule type="expression" priority="157" aboveAverage="0" equalAverage="0" bottom="0" percent="0" rank="0" text="" dxfId="3">
      <formula>$J$8="N/A"</formula>
    </cfRule>
  </conditionalFormatting>
  <conditionalFormatting sqref="J10:K12">
    <cfRule type="expression" priority="158" aboveAverage="0" equalAverage="0" bottom="0" percent="0" rank="0" text="" dxfId="1">
      <formula>$J$12="Green"</formula>
    </cfRule>
    <cfRule type="expression" priority="159" aboveAverage="0" equalAverage="0" bottom="0" percent="0" rank="0" text="" dxfId="2">
      <formula>$J$12="Amber"</formula>
    </cfRule>
    <cfRule type="expression" priority="160" aboveAverage="0" equalAverage="0" bottom="0" percent="0" rank="0" text="" dxfId="0">
      <formula>$J$12="Red"</formula>
    </cfRule>
    <cfRule type="expression" priority="161" aboveAverage="0" equalAverage="0" bottom="0" percent="0" rank="0" text="" dxfId="3">
      <formula>$J$12="N/A"</formula>
    </cfRule>
  </conditionalFormatting>
  <conditionalFormatting sqref="L6:M8">
    <cfRule type="expression" priority="162" aboveAverage="0" equalAverage="0" bottom="0" percent="0" rank="0" text="" dxfId="1">
      <formula>$L$8="Green"</formula>
    </cfRule>
    <cfRule type="expression" priority="163" aboveAverage="0" equalAverage="0" bottom="0" percent="0" rank="0" text="" dxfId="2">
      <formula>$L$8="Amber"</formula>
    </cfRule>
    <cfRule type="expression" priority="164" aboveAverage="0" equalAverage="0" bottom="0" percent="0" rank="0" text="" dxfId="0">
      <formula>$L$8="Red"</formula>
    </cfRule>
    <cfRule type="expression" priority="165" aboveAverage="0" equalAverage="0" bottom="0" percent="0" rank="0" text="" dxfId="3">
      <formula>$L$8="N/A"</formula>
    </cfRule>
  </conditionalFormatting>
  <conditionalFormatting sqref="L10:M12">
    <cfRule type="expression" priority="166" aboveAverage="0" equalAverage="0" bottom="0" percent="0" rank="0" text="" dxfId="1">
      <formula>$L$12="Green"</formula>
    </cfRule>
    <cfRule type="expression" priority="167" aboveAverage="0" equalAverage="0" bottom="0" percent="0" rank="0" text="" dxfId="2">
      <formula>$L$12="Amber"</formula>
    </cfRule>
    <cfRule type="expression" priority="168" aboveAverage="0" equalAverage="0" bottom="0" percent="0" rank="0" text="" dxfId="0">
      <formula>$L$12="Red"</formula>
    </cfRule>
    <cfRule type="expression" priority="169" aboveAverage="0" equalAverage="0" bottom="0" percent="0" rank="0" text="" dxfId="3">
      <formula>$L$12="N/A"</formula>
    </cfRule>
  </conditionalFormatting>
  <conditionalFormatting sqref="B18:C20">
    <cfRule type="expression" priority="170" aboveAverage="0" equalAverage="0" bottom="0" percent="0" rank="0" text="" dxfId="1">
      <formula>$B$20="Green"</formula>
    </cfRule>
    <cfRule type="expression" priority="171" aboveAverage="0" equalAverage="0" bottom="0" percent="0" rank="0" text="" dxfId="2">
      <formula>$B$20="Amber"</formula>
    </cfRule>
    <cfRule type="expression" priority="172" aboveAverage="0" equalAverage="0" bottom="0" percent="0" rank="0" text="" dxfId="0">
      <formula>$B$20="Red"</formula>
    </cfRule>
    <cfRule type="expression" priority="173" aboveAverage="0" equalAverage="0" bottom="0" percent="0" rank="0" text="" dxfId="3">
      <formula>$B$20="N/A"</formula>
    </cfRule>
  </conditionalFormatting>
  <conditionalFormatting sqref="D18:E20">
    <cfRule type="expression" priority="174" aboveAverage="0" equalAverage="0" bottom="0" percent="0" rank="0" text="" dxfId="1">
      <formula>$D$20="Green"</formula>
    </cfRule>
    <cfRule type="expression" priority="175" aboveAverage="0" equalAverage="0" bottom="0" percent="0" rank="0" text="" dxfId="2">
      <formula>$D$20="Amber"</formula>
    </cfRule>
    <cfRule type="expression" priority="176" aboveAverage="0" equalAverage="0" bottom="0" percent="0" rank="0" text="" dxfId="0">
      <formula>$D$20="Red"</formula>
    </cfRule>
    <cfRule type="expression" priority="177" aboveAverage="0" equalAverage="0" bottom="0" percent="0" rank="0" text="" dxfId="3">
      <formula>$D$20="N/A"</formula>
    </cfRule>
  </conditionalFormatting>
  <conditionalFormatting sqref="F18:G20">
    <cfRule type="expression" priority="178" aboveAverage="0" equalAverage="0" bottom="0" percent="0" rank="0" text="" dxfId="1">
      <formula>$F$20="Green"</formula>
    </cfRule>
    <cfRule type="expression" priority="179" aboveAverage="0" equalAverage="0" bottom="0" percent="0" rank="0" text="" dxfId="2">
      <formula>$F$20="Amber"</formula>
    </cfRule>
    <cfRule type="expression" priority="180" aboveAverage="0" equalAverage="0" bottom="0" percent="0" rank="0" text="" dxfId="0">
      <formula>$F$20="Red"</formula>
    </cfRule>
    <cfRule type="expression" priority="181" aboveAverage="0" equalAverage="0" bottom="0" percent="0" rank="0" text="" dxfId="3">
      <formula>$F$20="N/A"</formula>
    </cfRule>
  </conditionalFormatting>
  <conditionalFormatting sqref="H18:I20">
    <cfRule type="expression" priority="182" aboveAverage="0" equalAverage="0" bottom="0" percent="0" rank="0" text="" dxfId="1">
      <formula>$H$20="Green"</formula>
    </cfRule>
    <cfRule type="expression" priority="183" aboveAverage="0" equalAverage="0" bottom="0" percent="0" rank="0" text="" dxfId="2">
      <formula>$H$20="Amber"</formula>
    </cfRule>
    <cfRule type="expression" priority="184" aboveAverage="0" equalAverage="0" bottom="0" percent="0" rank="0" text="" dxfId="0">
      <formula>$H$20="Red"</formula>
    </cfRule>
    <cfRule type="expression" priority="185" aboveAverage="0" equalAverage="0" bottom="0" percent="0" rank="0" text="" dxfId="3">
      <formula>$H$20="N/A"</formula>
    </cfRule>
  </conditionalFormatting>
  <conditionalFormatting sqref="B49">
    <cfRule type="expression" priority="186" aboveAverage="0" equalAverage="0" bottom="0" percent="0" rank="0" text="" dxfId="1">
      <formula>AND(ISNUMBER(B49),B49&gt;PBI_G)</formula>
    </cfRule>
    <cfRule type="expression" priority="187" aboveAverage="0" equalAverage="0" bottom="0" percent="0" rank="0" text="" dxfId="2">
      <formula>AND(ISNUMBER(B49),B49&lt;=PBI_G,B49&gt;=PBI_R)</formula>
    </cfRule>
    <cfRule type="expression" priority="188" aboveAverage="0" equalAverage="0" bottom="0" percent="0" rank="0" text="" dxfId="0">
      <formula>AND(ISNUMBER(B49),B49&lt;PBI_R)</formula>
    </cfRule>
    <cfRule type="expression" priority="189" aboveAverage="0" equalAverage="0" bottom="0" percent="0" rank="0" text="" dxfId="3">
      <formula>B49="N/A"</formula>
    </cfRule>
  </conditionalFormatting>
  <conditionalFormatting sqref="D49">
    <cfRule type="expression" priority="190" aboveAverage="0" equalAverage="0" bottom="0" percent="0" rank="0" text="" dxfId="1">
      <formula>AND(ISNUMBER(D49),D49&gt;PBI_G)</formula>
    </cfRule>
    <cfRule type="expression" priority="191" aboveAverage="0" equalAverage="0" bottom="0" percent="0" rank="0" text="" dxfId="2">
      <formula>AND(ISNUMBER(D49),D49&lt;=PBI_G,D49&gt;=PBI_R)</formula>
    </cfRule>
    <cfRule type="expression" priority="192" aboveAverage="0" equalAverage="0" bottom="0" percent="0" rank="0" text="" dxfId="0">
      <formula>AND(ISNUMBER(D49),D49&lt;PBI_R)</formula>
    </cfRule>
    <cfRule type="expression" priority="193" aboveAverage="0" equalAverage="0" bottom="0" percent="0" rank="0" text="" dxfId="3">
      <formula>D49="N/A"</formula>
    </cfRule>
  </conditionalFormatting>
  <conditionalFormatting sqref="F49">
    <cfRule type="expression" priority="194" aboveAverage="0" equalAverage="0" bottom="0" percent="0" rank="0" text="" dxfId="1">
      <formula>AND(ISNUMBER(F49),F49&gt;PBI_G)</formula>
    </cfRule>
    <cfRule type="expression" priority="195" aboveAverage="0" equalAverage="0" bottom="0" percent="0" rank="0" text="" dxfId="2">
      <formula>AND(ISNUMBER(F49),F49&lt;=PBI_G,F49&gt;=PBI_R)</formula>
    </cfRule>
    <cfRule type="expression" priority="196" aboveAverage="0" equalAverage="0" bottom="0" percent="0" rank="0" text="" dxfId="0">
      <formula>AND(ISNUMBER(F49),F49&lt;PBI_R)</formula>
    </cfRule>
    <cfRule type="expression" priority="197" aboveAverage="0" equalAverage="0" bottom="0" percent="0" rank="0" text="" dxfId="3">
      <formula>F49="N/A"</formula>
    </cfRule>
  </conditionalFormatting>
  <conditionalFormatting sqref="H49">
    <cfRule type="expression" priority="198" aboveAverage="0" equalAverage="0" bottom="0" percent="0" rank="0" text="" dxfId="1">
      <formula>AND(ISNUMBER(H49),H49&gt;PBI_G)</formula>
    </cfRule>
    <cfRule type="expression" priority="199" aboveAverage="0" equalAverage="0" bottom="0" percent="0" rank="0" text="" dxfId="2">
      <formula>AND(ISNUMBER(H49),H49&lt;=PBI_G,H49&gt;=PBI_R)</formula>
    </cfRule>
    <cfRule type="expression" priority="200" aboveAverage="0" equalAverage="0" bottom="0" percent="0" rank="0" text="" dxfId="0">
      <formula>AND(ISNUMBER(H49),H49&lt;PBI_R)</formula>
    </cfRule>
    <cfRule type="expression" priority="201" aboveAverage="0" equalAverage="0" bottom="0" percent="0" rank="0" text="" dxfId="3">
      <formula>H49="N/A"</formula>
    </cfRule>
  </conditionalFormatting>
  <conditionalFormatting sqref="J49">
    <cfRule type="expression" priority="202" aboveAverage="0" equalAverage="0" bottom="0" percent="0" rank="0" text="" dxfId="1">
      <formula>AND(ISNUMBER(J49),J49&gt;PBI_G)</formula>
    </cfRule>
    <cfRule type="expression" priority="203" aboveAverage="0" equalAverage="0" bottom="0" percent="0" rank="0" text="" dxfId="2">
      <formula>AND(ISNUMBER(J49),J49&lt;=PBI_G,J49&gt;=PBI_R)</formula>
    </cfRule>
    <cfRule type="expression" priority="204" aboveAverage="0" equalAverage="0" bottom="0" percent="0" rank="0" text="" dxfId="0">
      <formula>AND(ISNUMBER(J49),J49&lt;PBI_R)</formula>
    </cfRule>
    <cfRule type="expression" priority="205" aboveAverage="0" equalAverage="0" bottom="0" percent="0" rank="0" text="" dxfId="3">
      <formula>J49="N/A"</formula>
    </cfRule>
  </conditionalFormatting>
  <conditionalFormatting sqref="L49">
    <cfRule type="expression" priority="206" aboveAverage="0" equalAverage="0" bottom="0" percent="0" rank="0" text="" dxfId="1">
      <formula>AND(ISNUMBER(L49),L49&gt;PBI_G)</formula>
    </cfRule>
    <cfRule type="expression" priority="207" aboveAverage="0" equalAverage="0" bottom="0" percent="0" rank="0" text="" dxfId="2">
      <formula>AND(ISNUMBER(L49),L49&lt;=PBI_G,L49&gt;=PBI_R)</formula>
    </cfRule>
    <cfRule type="expression" priority="208" aboveAverage="0" equalAverage="0" bottom="0" percent="0" rank="0" text="" dxfId="0">
      <formula>AND(ISNUMBER(L49),L49&lt;PBI_R)</formula>
    </cfRule>
    <cfRule type="expression" priority="209" aboveAverage="0" equalAverage="0" bottom="0" percent="0" rank="0" text="" dxfId="3">
      <formula>L49="N/A"</formula>
    </cfRule>
  </conditionalFormatting>
  <conditionalFormatting sqref="B50">
    <cfRule type="expression" priority="210" aboveAverage="0" equalAverage="0" bottom="0" percent="0" rank="0" text="" dxfId="1">
      <formula>AND(ISNUMBER(B50),B50&gt;PBI_G)</formula>
    </cfRule>
    <cfRule type="expression" priority="211" aboveAverage="0" equalAverage="0" bottom="0" percent="0" rank="0" text="" dxfId="2">
      <formula>AND(ISNUMBER(B50),B50&lt;=PBI_G,B50&gt;=PBI_R)</formula>
    </cfRule>
    <cfRule type="expression" priority="212" aboveAverage="0" equalAverage="0" bottom="0" percent="0" rank="0" text="" dxfId="0">
      <formula>AND(ISNUMBER(B50),B50&lt;PBI_R)</formula>
    </cfRule>
    <cfRule type="expression" priority="213" aboveAverage="0" equalAverage="0" bottom="0" percent="0" rank="0" text="" dxfId="3">
      <formula>B50="N/A"</formula>
    </cfRule>
  </conditionalFormatting>
  <conditionalFormatting sqref="D50">
    <cfRule type="expression" priority="214" aboveAverage="0" equalAverage="0" bottom="0" percent="0" rank="0" text="" dxfId="1">
      <formula>AND(ISNUMBER(D50),D50&gt;PBI_G)</formula>
    </cfRule>
    <cfRule type="expression" priority="215" aboveAverage="0" equalAverage="0" bottom="0" percent="0" rank="0" text="" dxfId="2">
      <formula>AND(ISNUMBER(D50),D50&lt;=PBI_G,D50&gt;=PBI_R)</formula>
    </cfRule>
    <cfRule type="expression" priority="216" aboveAverage="0" equalAverage="0" bottom="0" percent="0" rank="0" text="" dxfId="0">
      <formula>AND(ISNUMBER(D50),D50&lt;PBI_R)</formula>
    </cfRule>
    <cfRule type="expression" priority="217" aboveAverage="0" equalAverage="0" bottom="0" percent="0" rank="0" text="" dxfId="3">
      <formula>D50="N/A"</formula>
    </cfRule>
  </conditionalFormatting>
  <conditionalFormatting sqref="F50">
    <cfRule type="expression" priority="218" aboveAverage="0" equalAverage="0" bottom="0" percent="0" rank="0" text="" dxfId="1">
      <formula>AND(ISNUMBER(F50),F50&gt;PBI_G)</formula>
    </cfRule>
    <cfRule type="expression" priority="219" aboveAverage="0" equalAverage="0" bottom="0" percent="0" rank="0" text="" dxfId="2">
      <formula>AND(ISNUMBER(F50),F50&lt;=PBI_G,F50&gt;=PBI_R)</formula>
    </cfRule>
    <cfRule type="expression" priority="220" aboveAverage="0" equalAverage="0" bottom="0" percent="0" rank="0" text="" dxfId="0">
      <formula>AND(ISNUMBER(F50),F50&lt;PBI_R)</formula>
    </cfRule>
    <cfRule type="expression" priority="221" aboveAverage="0" equalAverage="0" bottom="0" percent="0" rank="0" text="" dxfId="3">
      <formula>F50="N/A"</formula>
    </cfRule>
  </conditionalFormatting>
  <conditionalFormatting sqref="H50">
    <cfRule type="expression" priority="222" aboveAverage="0" equalAverage="0" bottom="0" percent="0" rank="0" text="" dxfId="1">
      <formula>AND(ISNUMBER(H50),H50&gt;PBI_G)</formula>
    </cfRule>
    <cfRule type="expression" priority="223" aboveAverage="0" equalAverage="0" bottom="0" percent="0" rank="0" text="" dxfId="2">
      <formula>AND(ISNUMBER(H50),H50&lt;=PBI_G,H50&gt;=PBI_R)</formula>
    </cfRule>
    <cfRule type="expression" priority="224" aboveAverage="0" equalAverage="0" bottom="0" percent="0" rank="0" text="" dxfId="0">
      <formula>AND(ISNUMBER(H50),H50&lt;PBI_R)</formula>
    </cfRule>
    <cfRule type="expression" priority="225" aboveAverage="0" equalAverage="0" bottom="0" percent="0" rank="0" text="" dxfId="3">
      <formula>H50="N/A"</formula>
    </cfRule>
  </conditionalFormatting>
  <conditionalFormatting sqref="J50">
    <cfRule type="expression" priority="226" aboveAverage="0" equalAverage="0" bottom="0" percent="0" rank="0" text="" dxfId="1">
      <formula>AND(ISNUMBER(J50),J50&gt;PBI_G)</formula>
    </cfRule>
    <cfRule type="expression" priority="227" aboveAverage="0" equalAverage="0" bottom="0" percent="0" rank="0" text="" dxfId="2">
      <formula>AND(ISNUMBER(J50),J50&lt;=PBI_G,J50&gt;=PBI_R)</formula>
    </cfRule>
    <cfRule type="expression" priority="228" aboveAverage="0" equalAverage="0" bottom="0" percent="0" rank="0" text="" dxfId="0">
      <formula>AND(ISNUMBER(J50),J50&lt;PBI_R)</formula>
    </cfRule>
    <cfRule type="expression" priority="229" aboveAverage="0" equalAverage="0" bottom="0" percent="0" rank="0" text="" dxfId="3">
      <formula>J50="N/A"</formula>
    </cfRule>
  </conditionalFormatting>
  <conditionalFormatting sqref="L50">
    <cfRule type="expression" priority="230" aboveAverage="0" equalAverage="0" bottom="0" percent="0" rank="0" text="" dxfId="1">
      <formula>AND(ISNUMBER(L50),L50&gt;PBI_G)</formula>
    </cfRule>
    <cfRule type="expression" priority="231" aboveAverage="0" equalAverage="0" bottom="0" percent="0" rank="0" text="" dxfId="2">
      <formula>AND(ISNUMBER(L50),L50&lt;=PBI_G,L50&gt;=PBI_R)</formula>
    </cfRule>
    <cfRule type="expression" priority="232" aboveAverage="0" equalAverage="0" bottom="0" percent="0" rank="0" text="" dxfId="0">
      <formula>AND(ISNUMBER(L50),L50&lt;PBI_R)</formula>
    </cfRule>
    <cfRule type="expression" priority="233" aboveAverage="0" equalAverage="0" bottom="0" percent="0" rank="0" text="" dxfId="3">
      <formula>L50="N/A"</formula>
    </cfRule>
  </conditionalFormatting>
  <conditionalFormatting sqref="B51">
    <cfRule type="expression" priority="234" aboveAverage="0" equalAverage="0" bottom="0" percent="0" rank="0" text="" dxfId="1">
      <formula>AND(ISNUMBER(B51),B51&gt;PBI_G)</formula>
    </cfRule>
    <cfRule type="expression" priority="235" aboveAverage="0" equalAverage="0" bottom="0" percent="0" rank="0" text="" dxfId="2">
      <formula>AND(ISNUMBER(B51),B51&lt;=PBI_G,B51&gt;=PBI_R)</formula>
    </cfRule>
    <cfRule type="expression" priority="236" aboveAverage="0" equalAverage="0" bottom="0" percent="0" rank="0" text="" dxfId="0">
      <formula>AND(ISNUMBER(B51),B51&lt;PBI_R)</formula>
    </cfRule>
    <cfRule type="expression" priority="237" aboveAverage="0" equalAverage="0" bottom="0" percent="0" rank="0" text="" dxfId="3">
      <formula>B51="N/A"</formula>
    </cfRule>
  </conditionalFormatting>
  <conditionalFormatting sqref="D51">
    <cfRule type="expression" priority="238" aboveAverage="0" equalAverage="0" bottom="0" percent="0" rank="0" text="" dxfId="1">
      <formula>AND(ISNUMBER(D51),D51&gt;PBI_G)</formula>
    </cfRule>
    <cfRule type="expression" priority="239" aboveAverage="0" equalAverage="0" bottom="0" percent="0" rank="0" text="" dxfId="2">
      <formula>AND(ISNUMBER(D51),D51&lt;=PBI_G,D51&gt;=PBI_R)</formula>
    </cfRule>
    <cfRule type="expression" priority="240" aboveAverage="0" equalAverage="0" bottom="0" percent="0" rank="0" text="" dxfId="0">
      <formula>AND(ISNUMBER(D51),D51&lt;PBI_R)</formula>
    </cfRule>
    <cfRule type="expression" priority="241" aboveAverage="0" equalAverage="0" bottom="0" percent="0" rank="0" text="" dxfId="3">
      <formula>D51="N/A"</formula>
    </cfRule>
  </conditionalFormatting>
  <conditionalFormatting sqref="F51">
    <cfRule type="expression" priority="242" aboveAverage="0" equalAverage="0" bottom="0" percent="0" rank="0" text="" dxfId="1">
      <formula>AND(ISNUMBER(F51),F51&gt;PBI_G)</formula>
    </cfRule>
    <cfRule type="expression" priority="243" aboveAverage="0" equalAverage="0" bottom="0" percent="0" rank="0" text="" dxfId="2">
      <formula>AND(ISNUMBER(F51),F51&lt;=PBI_G,F51&gt;=PBI_R)</formula>
    </cfRule>
    <cfRule type="expression" priority="244" aboveAverage="0" equalAverage="0" bottom="0" percent="0" rank="0" text="" dxfId="0">
      <formula>AND(ISNUMBER(F51),F51&lt;PBI_R)</formula>
    </cfRule>
    <cfRule type="expression" priority="245" aboveAverage="0" equalAverage="0" bottom="0" percent="0" rank="0" text="" dxfId="3">
      <formula>F51="N/A"</formula>
    </cfRule>
  </conditionalFormatting>
  <conditionalFormatting sqref="H51">
    <cfRule type="expression" priority="246" aboveAverage="0" equalAverage="0" bottom="0" percent="0" rank="0" text="" dxfId="1">
      <formula>AND(ISNUMBER(H51),H51&gt;PBI_G)</formula>
    </cfRule>
    <cfRule type="expression" priority="247" aboveAverage="0" equalAverage="0" bottom="0" percent="0" rank="0" text="" dxfId="2">
      <formula>AND(ISNUMBER(H51),H51&lt;=PBI_G,H51&gt;=PBI_R)</formula>
    </cfRule>
    <cfRule type="expression" priority="248" aboveAverage="0" equalAverage="0" bottom="0" percent="0" rank="0" text="" dxfId="0">
      <formula>AND(ISNUMBER(H51),H51&lt;PBI_R)</formula>
    </cfRule>
    <cfRule type="expression" priority="249" aboveAverage="0" equalAverage="0" bottom="0" percent="0" rank="0" text="" dxfId="3">
      <formula>H51="N/A"</formula>
    </cfRule>
  </conditionalFormatting>
  <conditionalFormatting sqref="J51">
    <cfRule type="expression" priority="250" aboveAverage="0" equalAverage="0" bottom="0" percent="0" rank="0" text="" dxfId="1">
      <formula>AND(ISNUMBER(J51),J51&gt;PBI_G)</formula>
    </cfRule>
    <cfRule type="expression" priority="251" aboveAverage="0" equalAverage="0" bottom="0" percent="0" rank="0" text="" dxfId="2">
      <formula>AND(ISNUMBER(J51),J51&lt;=PBI_G,J51&gt;=PBI_R)</formula>
    </cfRule>
    <cfRule type="expression" priority="252" aboveAverage="0" equalAverage="0" bottom="0" percent="0" rank="0" text="" dxfId="0">
      <formula>AND(ISNUMBER(J51),J51&lt;PBI_R)</formula>
    </cfRule>
    <cfRule type="expression" priority="253" aboveAverage="0" equalAverage="0" bottom="0" percent="0" rank="0" text="" dxfId="3">
      <formula>J51="N/A"</formula>
    </cfRule>
  </conditionalFormatting>
  <conditionalFormatting sqref="L51">
    <cfRule type="expression" priority="254" aboveAverage="0" equalAverage="0" bottom="0" percent="0" rank="0" text="" dxfId="1">
      <formula>AND(ISNUMBER(L51),L51&gt;PBI_G)</formula>
    </cfRule>
    <cfRule type="expression" priority="255" aboveAverage="0" equalAverage="0" bottom="0" percent="0" rank="0" text="" dxfId="2">
      <formula>AND(ISNUMBER(L51),L51&lt;=PBI_G,L51&gt;=PBI_R)</formula>
    </cfRule>
    <cfRule type="expression" priority="256" aboveAverage="0" equalAverage="0" bottom="0" percent="0" rank="0" text="" dxfId="0">
      <formula>AND(ISNUMBER(L51),L51&lt;PBI_R)</formula>
    </cfRule>
    <cfRule type="expression" priority="257" aboveAverage="0" equalAverage="0" bottom="0" percent="0" rank="0" text="" dxfId="3">
      <formula>L51="N/A"</formula>
    </cfRule>
  </conditionalFormatting>
  <conditionalFormatting sqref="B52">
    <cfRule type="expression" priority="258" aboveAverage="0" equalAverage="0" bottom="0" percent="0" rank="0" text="" dxfId="1">
      <formula>AND(ISNUMBER(B52),B52&gt;PBI_G)</formula>
    </cfRule>
    <cfRule type="expression" priority="259" aboveAverage="0" equalAverage="0" bottom="0" percent="0" rank="0" text="" dxfId="2">
      <formula>AND(ISNUMBER(B52),B52&lt;=PBI_G,B52&gt;=PBI_R)</formula>
    </cfRule>
    <cfRule type="expression" priority="260" aboveAverage="0" equalAverage="0" bottom="0" percent="0" rank="0" text="" dxfId="0">
      <formula>AND(ISNUMBER(B52),B52&lt;PBI_R)</formula>
    </cfRule>
    <cfRule type="expression" priority="261" aboveAverage="0" equalAverage="0" bottom="0" percent="0" rank="0" text="" dxfId="3">
      <formula>B52="N/A"</formula>
    </cfRule>
  </conditionalFormatting>
  <conditionalFormatting sqref="D52">
    <cfRule type="expression" priority="262" aboveAverage="0" equalAverage="0" bottom="0" percent="0" rank="0" text="" dxfId="1">
      <formula>AND(ISNUMBER(D52),D52&gt;PBI_G)</formula>
    </cfRule>
    <cfRule type="expression" priority="263" aboveAverage="0" equalAverage="0" bottom="0" percent="0" rank="0" text="" dxfId="2">
      <formula>AND(ISNUMBER(D52),D52&lt;=PBI_G,D52&gt;=PBI_R)</formula>
    </cfRule>
    <cfRule type="expression" priority="264" aboveAverage="0" equalAverage="0" bottom="0" percent="0" rank="0" text="" dxfId="0">
      <formula>AND(ISNUMBER(D52),D52&lt;PBI_R)</formula>
    </cfRule>
    <cfRule type="expression" priority="265" aboveAverage="0" equalAverage="0" bottom="0" percent="0" rank="0" text="" dxfId="3">
      <formula>D52="N/A"</formula>
    </cfRule>
  </conditionalFormatting>
  <conditionalFormatting sqref="F52">
    <cfRule type="expression" priority="266" aboveAverage="0" equalAverage="0" bottom="0" percent="0" rank="0" text="" dxfId="1">
      <formula>AND(ISNUMBER(F52),F52&gt;PBI_G)</formula>
    </cfRule>
    <cfRule type="expression" priority="267" aboveAverage="0" equalAverage="0" bottom="0" percent="0" rank="0" text="" dxfId="2">
      <formula>AND(ISNUMBER(F52),F52&lt;=PBI_G,F52&gt;=PBI_R)</formula>
    </cfRule>
    <cfRule type="expression" priority="268" aboveAverage="0" equalAverage="0" bottom="0" percent="0" rank="0" text="" dxfId="0">
      <formula>AND(ISNUMBER(F52),F52&lt;PBI_R)</formula>
    </cfRule>
    <cfRule type="expression" priority="269" aboveAverage="0" equalAverage="0" bottom="0" percent="0" rank="0" text="" dxfId="3">
      <formula>F52="N/A"</formula>
    </cfRule>
  </conditionalFormatting>
  <conditionalFormatting sqref="H52">
    <cfRule type="expression" priority="270" aboveAverage="0" equalAverage="0" bottom="0" percent="0" rank="0" text="" dxfId="1">
      <formula>AND(ISNUMBER(H52),H52&gt;PBI_G)</formula>
    </cfRule>
    <cfRule type="expression" priority="271" aboveAverage="0" equalAverage="0" bottom="0" percent="0" rank="0" text="" dxfId="2">
      <formula>AND(ISNUMBER(H52),H52&lt;=PBI_G,H52&gt;=PBI_R)</formula>
    </cfRule>
    <cfRule type="expression" priority="272" aboveAverage="0" equalAverage="0" bottom="0" percent="0" rank="0" text="" dxfId="0">
      <formula>AND(ISNUMBER(H52),H52&lt;PBI_R)</formula>
    </cfRule>
    <cfRule type="expression" priority="273" aboveAverage="0" equalAverage="0" bottom="0" percent="0" rank="0" text="" dxfId="3">
      <formula>H52="N/A"</formula>
    </cfRule>
  </conditionalFormatting>
  <conditionalFormatting sqref="J52">
    <cfRule type="expression" priority="274" aboveAverage="0" equalAverage="0" bottom="0" percent="0" rank="0" text="" dxfId="1">
      <formula>AND(ISNUMBER(J52),J52&gt;PBI_G)</formula>
    </cfRule>
    <cfRule type="expression" priority="275" aboveAverage="0" equalAverage="0" bottom="0" percent="0" rank="0" text="" dxfId="2">
      <formula>AND(ISNUMBER(J52),J52&lt;=PBI_G,J52&gt;=PBI_R)</formula>
    </cfRule>
    <cfRule type="expression" priority="276" aboveAverage="0" equalAverage="0" bottom="0" percent="0" rank="0" text="" dxfId="0">
      <formula>AND(ISNUMBER(J52),J52&lt;PBI_R)</formula>
    </cfRule>
    <cfRule type="expression" priority="277" aboveAverage="0" equalAverage="0" bottom="0" percent="0" rank="0" text="" dxfId="3">
      <formula>J52="N/A"</formula>
    </cfRule>
  </conditionalFormatting>
  <conditionalFormatting sqref="L52">
    <cfRule type="expression" priority="278" aboveAverage="0" equalAverage="0" bottom="0" percent="0" rank="0" text="" dxfId="1">
      <formula>AND(ISNUMBER(L52),L52&gt;PBI_G)</formula>
    </cfRule>
    <cfRule type="expression" priority="279" aboveAverage="0" equalAverage="0" bottom="0" percent="0" rank="0" text="" dxfId="2">
      <formula>AND(ISNUMBER(L52),L52&lt;=PBI_G,L52&gt;=PBI_R)</formula>
    </cfRule>
    <cfRule type="expression" priority="280" aboveAverage="0" equalAverage="0" bottom="0" percent="0" rank="0" text="" dxfId="0">
      <formula>AND(ISNUMBER(L52),L52&lt;PBI_R)</formula>
    </cfRule>
    <cfRule type="expression" priority="281" aboveAverage="0" equalAverage="0" bottom="0" percent="0" rank="0" text="" dxfId="3">
      <formula>L52="N/A"</formula>
    </cfRule>
  </conditionalFormatting>
  <conditionalFormatting sqref="B53">
    <cfRule type="expression" priority="282" aboveAverage="0" equalAverage="0" bottom="0" percent="0" rank="0" text="" dxfId="1">
      <formula>AND(ISNUMBER(B53),B53&gt;PBI_G)</formula>
    </cfRule>
    <cfRule type="expression" priority="283" aboveAverage="0" equalAverage="0" bottom="0" percent="0" rank="0" text="" dxfId="2">
      <formula>AND(ISNUMBER(B53),B53&lt;=PBI_G,B53&gt;=PBI_R)</formula>
    </cfRule>
    <cfRule type="expression" priority="284" aboveAverage="0" equalAverage="0" bottom="0" percent="0" rank="0" text="" dxfId="0">
      <formula>AND(ISNUMBER(B53),B53&lt;PBI_R)</formula>
    </cfRule>
    <cfRule type="expression" priority="285" aboveAverage="0" equalAverage="0" bottom="0" percent="0" rank="0" text="" dxfId="3">
      <formula>B53="N/A"</formula>
    </cfRule>
  </conditionalFormatting>
  <conditionalFormatting sqref="D53">
    <cfRule type="expression" priority="286" aboveAverage="0" equalAverage="0" bottom="0" percent="0" rank="0" text="" dxfId="1">
      <formula>AND(ISNUMBER(D53),D53&gt;PBI_G)</formula>
    </cfRule>
    <cfRule type="expression" priority="287" aboveAverage="0" equalAverage="0" bottom="0" percent="0" rank="0" text="" dxfId="2">
      <formula>AND(ISNUMBER(D53),D53&lt;=PBI_G,D53&gt;=PBI_R)</formula>
    </cfRule>
    <cfRule type="expression" priority="288" aboveAverage="0" equalAverage="0" bottom="0" percent="0" rank="0" text="" dxfId="0">
      <formula>AND(ISNUMBER(D53),D53&lt;PBI_R)</formula>
    </cfRule>
    <cfRule type="expression" priority="289" aboveAverage="0" equalAverage="0" bottom="0" percent="0" rank="0" text="" dxfId="3">
      <formula>D53="N/A"</formula>
    </cfRule>
  </conditionalFormatting>
  <conditionalFormatting sqref="F53">
    <cfRule type="expression" priority="290" aboveAverage="0" equalAverage="0" bottom="0" percent="0" rank="0" text="" dxfId="1">
      <formula>AND(ISNUMBER(F53),F53&gt;PBI_G)</formula>
    </cfRule>
    <cfRule type="expression" priority="291" aboveAverage="0" equalAverage="0" bottom="0" percent="0" rank="0" text="" dxfId="2">
      <formula>AND(ISNUMBER(F53),F53&lt;=PBI_G,F53&gt;=PBI_R)</formula>
    </cfRule>
    <cfRule type="expression" priority="292" aboveAverage="0" equalAverage="0" bottom="0" percent="0" rank="0" text="" dxfId="0">
      <formula>AND(ISNUMBER(F53),F53&lt;PBI_R)</formula>
    </cfRule>
    <cfRule type="expression" priority="293" aboveAverage="0" equalAverage="0" bottom="0" percent="0" rank="0" text="" dxfId="3">
      <formula>F53="N/A"</formula>
    </cfRule>
  </conditionalFormatting>
  <conditionalFormatting sqref="H53">
    <cfRule type="expression" priority="294" aboveAverage="0" equalAverage="0" bottom="0" percent="0" rank="0" text="" dxfId="1">
      <formula>AND(ISNUMBER(H53),H53&gt;PBI_G)</formula>
    </cfRule>
    <cfRule type="expression" priority="295" aboveAverage="0" equalAverage="0" bottom="0" percent="0" rank="0" text="" dxfId="2">
      <formula>AND(ISNUMBER(H53),H53&lt;=PBI_G,H53&gt;=PBI_R)</formula>
    </cfRule>
    <cfRule type="expression" priority="296" aboveAverage="0" equalAverage="0" bottom="0" percent="0" rank="0" text="" dxfId="0">
      <formula>AND(ISNUMBER(H53),H53&lt;PBI_R)</formula>
    </cfRule>
    <cfRule type="expression" priority="297" aboveAverage="0" equalAverage="0" bottom="0" percent="0" rank="0" text="" dxfId="3">
      <formula>H53="N/A"</formula>
    </cfRule>
  </conditionalFormatting>
  <conditionalFormatting sqref="J53">
    <cfRule type="expression" priority="298" aboveAverage="0" equalAverage="0" bottom="0" percent="0" rank="0" text="" dxfId="1">
      <formula>AND(ISNUMBER(J53),J53&gt;PBI_G)</formula>
    </cfRule>
    <cfRule type="expression" priority="299" aboveAverage="0" equalAverage="0" bottom="0" percent="0" rank="0" text="" dxfId="2">
      <formula>AND(ISNUMBER(J53),J53&lt;=PBI_G,J53&gt;=PBI_R)</formula>
    </cfRule>
    <cfRule type="expression" priority="300" aboveAverage="0" equalAverage="0" bottom="0" percent="0" rank="0" text="" dxfId="0">
      <formula>AND(ISNUMBER(J53),J53&lt;PBI_R)</formula>
    </cfRule>
    <cfRule type="expression" priority="301" aboveAverage="0" equalAverage="0" bottom="0" percent="0" rank="0" text="" dxfId="3">
      <formula>J53="N/A"</formula>
    </cfRule>
  </conditionalFormatting>
  <conditionalFormatting sqref="L53">
    <cfRule type="expression" priority="302" aboveAverage="0" equalAverage="0" bottom="0" percent="0" rank="0" text="" dxfId="1">
      <formula>AND(ISNUMBER(L53),L53&gt;PBI_G)</formula>
    </cfRule>
    <cfRule type="expression" priority="303" aboveAverage="0" equalAverage="0" bottom="0" percent="0" rank="0" text="" dxfId="2">
      <formula>AND(ISNUMBER(L53),L53&lt;=PBI_G,L53&gt;=PBI_R)</formula>
    </cfRule>
    <cfRule type="expression" priority="304" aboveAverage="0" equalAverage="0" bottom="0" percent="0" rank="0" text="" dxfId="0">
      <formula>AND(ISNUMBER(L53),L53&lt;PBI_R)</formula>
    </cfRule>
    <cfRule type="expression" priority="305" aboveAverage="0" equalAverage="0" bottom="0" percent="0" rank="0" text="" dxfId="3">
      <formula>L53="N/A"</formula>
    </cfRule>
  </conditionalFormatting>
  <conditionalFormatting sqref="B54">
    <cfRule type="expression" priority="306" aboveAverage="0" equalAverage="0" bottom="0" percent="0" rank="0" text="" dxfId="1">
      <formula>AND(ISNUMBER(B54),B54&gt;PBI_G)</formula>
    </cfRule>
    <cfRule type="expression" priority="307" aboveAverage="0" equalAverage="0" bottom="0" percent="0" rank="0" text="" dxfId="2">
      <formula>AND(ISNUMBER(B54),B54&lt;=PBI_G,B54&gt;=PBI_R)</formula>
    </cfRule>
    <cfRule type="expression" priority="308" aboveAverage="0" equalAverage="0" bottom="0" percent="0" rank="0" text="" dxfId="0">
      <formula>AND(ISNUMBER(B54),B54&lt;PBI_R)</formula>
    </cfRule>
    <cfRule type="expression" priority="309" aboveAverage="0" equalAverage="0" bottom="0" percent="0" rank="0" text="" dxfId="3">
      <formula>B54="N/A"</formula>
    </cfRule>
  </conditionalFormatting>
  <conditionalFormatting sqref="D54">
    <cfRule type="expression" priority="310" aboveAverage="0" equalAverage="0" bottom="0" percent="0" rank="0" text="" dxfId="1">
      <formula>AND(ISNUMBER(D54),D54&gt;PBI_G)</formula>
    </cfRule>
    <cfRule type="expression" priority="311" aboveAverage="0" equalAverage="0" bottom="0" percent="0" rank="0" text="" dxfId="2">
      <formula>AND(ISNUMBER(D54),D54&lt;=PBI_G,D54&gt;=PBI_R)</formula>
    </cfRule>
    <cfRule type="expression" priority="312" aboveAverage="0" equalAverage="0" bottom="0" percent="0" rank="0" text="" dxfId="0">
      <formula>AND(ISNUMBER(D54),D54&lt;PBI_R)</formula>
    </cfRule>
    <cfRule type="expression" priority="313" aboveAverage="0" equalAverage="0" bottom="0" percent="0" rank="0" text="" dxfId="3">
      <formula>D54="N/A"</formula>
    </cfRule>
  </conditionalFormatting>
  <conditionalFormatting sqref="F54">
    <cfRule type="expression" priority="314" aboveAverage="0" equalAverage="0" bottom="0" percent="0" rank="0" text="" dxfId="1">
      <formula>AND(ISNUMBER(F54),F54&gt;PBI_G)</formula>
    </cfRule>
    <cfRule type="expression" priority="315" aboveAverage="0" equalAverage="0" bottom="0" percent="0" rank="0" text="" dxfId="2">
      <formula>AND(ISNUMBER(F54),F54&lt;=PBI_G,F54&gt;=PBI_R)</formula>
    </cfRule>
    <cfRule type="expression" priority="316" aboveAverage="0" equalAverage="0" bottom="0" percent="0" rank="0" text="" dxfId="0">
      <formula>AND(ISNUMBER(F54),F54&lt;PBI_R)</formula>
    </cfRule>
    <cfRule type="expression" priority="317" aboveAverage="0" equalAverage="0" bottom="0" percent="0" rank="0" text="" dxfId="3">
      <formula>F54="N/A"</formula>
    </cfRule>
  </conditionalFormatting>
  <conditionalFormatting sqref="H54">
    <cfRule type="expression" priority="318" aboveAverage="0" equalAverage="0" bottom="0" percent="0" rank="0" text="" dxfId="1">
      <formula>AND(ISNUMBER(H54),H54&gt;PBI_G)</formula>
    </cfRule>
    <cfRule type="expression" priority="319" aboveAverage="0" equalAverage="0" bottom="0" percent="0" rank="0" text="" dxfId="2">
      <formula>AND(ISNUMBER(H54),H54&lt;=PBI_G,H54&gt;=PBI_R)</formula>
    </cfRule>
    <cfRule type="expression" priority="320" aboveAverage="0" equalAverage="0" bottom="0" percent="0" rank="0" text="" dxfId="0">
      <formula>AND(ISNUMBER(H54),H54&lt;PBI_R)</formula>
    </cfRule>
    <cfRule type="expression" priority="321" aboveAverage="0" equalAverage="0" bottom="0" percent="0" rank="0" text="" dxfId="3">
      <formula>H54="N/A"</formula>
    </cfRule>
  </conditionalFormatting>
  <conditionalFormatting sqref="J54">
    <cfRule type="expression" priority="322" aboveAverage="0" equalAverage="0" bottom="0" percent="0" rank="0" text="" dxfId="1">
      <formula>AND(ISNUMBER(J54),J54&gt;PBI_G)</formula>
    </cfRule>
    <cfRule type="expression" priority="323" aboveAverage="0" equalAverage="0" bottom="0" percent="0" rank="0" text="" dxfId="2">
      <formula>AND(ISNUMBER(J54),J54&lt;=PBI_G,J54&gt;=PBI_R)</formula>
    </cfRule>
    <cfRule type="expression" priority="324" aboveAverage="0" equalAverage="0" bottom="0" percent="0" rank="0" text="" dxfId="0">
      <formula>AND(ISNUMBER(J54),J54&lt;PBI_R)</formula>
    </cfRule>
    <cfRule type="expression" priority="325" aboveAverage="0" equalAverage="0" bottom="0" percent="0" rank="0" text="" dxfId="3">
      <formula>J54="N/A"</formula>
    </cfRule>
  </conditionalFormatting>
  <conditionalFormatting sqref="L54">
    <cfRule type="expression" priority="326" aboveAverage="0" equalAverage="0" bottom="0" percent="0" rank="0" text="" dxfId="1">
      <formula>AND(ISNUMBER(L54),L54&gt;PBI_G)</formula>
    </cfRule>
    <cfRule type="expression" priority="327" aboveAverage="0" equalAverage="0" bottom="0" percent="0" rank="0" text="" dxfId="2">
      <formula>AND(ISNUMBER(L54),L54&lt;=PBI_G,L54&gt;=PBI_R)</formula>
    </cfRule>
    <cfRule type="expression" priority="328" aboveAverage="0" equalAverage="0" bottom="0" percent="0" rank="0" text="" dxfId="0">
      <formula>AND(ISNUMBER(L54),L54&lt;PBI_R)</formula>
    </cfRule>
    <cfRule type="expression" priority="329" aboveAverage="0" equalAverage="0" bottom="0" percent="0" rank="0" text="" dxfId="3">
      <formula>L54="N/A"</formula>
    </cfRule>
  </conditionalFormatting>
  <conditionalFormatting sqref="B55">
    <cfRule type="expression" priority="330" aboveAverage="0" equalAverage="0" bottom="0" percent="0" rank="0" text="" dxfId="1">
      <formula>AND(ISNUMBER(B55),B55&gt;PBI_G)</formula>
    </cfRule>
    <cfRule type="expression" priority="331" aboveAverage="0" equalAverage="0" bottom="0" percent="0" rank="0" text="" dxfId="2">
      <formula>AND(ISNUMBER(B55),B55&lt;=PBI_G,B55&gt;=PBI_R)</formula>
    </cfRule>
    <cfRule type="expression" priority="332" aboveAverage="0" equalAverage="0" bottom="0" percent="0" rank="0" text="" dxfId="0">
      <formula>AND(ISNUMBER(B55),B55&lt;PBI_R)</formula>
    </cfRule>
    <cfRule type="expression" priority="333" aboveAverage="0" equalAverage="0" bottom="0" percent="0" rank="0" text="" dxfId="3">
      <formula>B55="N/A"</formula>
    </cfRule>
  </conditionalFormatting>
  <conditionalFormatting sqref="D55">
    <cfRule type="expression" priority="334" aboveAverage="0" equalAverage="0" bottom="0" percent="0" rank="0" text="" dxfId="1">
      <formula>AND(ISNUMBER(D55),D55&gt;PBI_G)</formula>
    </cfRule>
    <cfRule type="expression" priority="335" aboveAverage="0" equalAverage="0" bottom="0" percent="0" rank="0" text="" dxfId="2">
      <formula>AND(ISNUMBER(D55),D55&lt;=PBI_G,D55&gt;=PBI_R)</formula>
    </cfRule>
    <cfRule type="expression" priority="336" aboveAverage="0" equalAverage="0" bottom="0" percent="0" rank="0" text="" dxfId="0">
      <formula>AND(ISNUMBER(D55),D55&lt;PBI_R)</formula>
    </cfRule>
    <cfRule type="expression" priority="337" aboveAverage="0" equalAverage="0" bottom="0" percent="0" rank="0" text="" dxfId="3">
      <formula>D55="N/A"</formula>
    </cfRule>
  </conditionalFormatting>
  <conditionalFormatting sqref="F55">
    <cfRule type="expression" priority="338" aboveAverage="0" equalAverage="0" bottom="0" percent="0" rank="0" text="" dxfId="1">
      <formula>AND(ISNUMBER(F55),F55&gt;PBI_G)</formula>
    </cfRule>
    <cfRule type="expression" priority="339" aboveAverage="0" equalAverage="0" bottom="0" percent="0" rank="0" text="" dxfId="2">
      <formula>AND(ISNUMBER(F55),F55&lt;=PBI_G,F55&gt;=PBI_R)</formula>
    </cfRule>
    <cfRule type="expression" priority="340" aboveAverage="0" equalAverage="0" bottom="0" percent="0" rank="0" text="" dxfId="0">
      <formula>AND(ISNUMBER(F55),F55&lt;PBI_R)</formula>
    </cfRule>
    <cfRule type="expression" priority="341" aboveAverage="0" equalAverage="0" bottom="0" percent="0" rank="0" text="" dxfId="3">
      <formula>F55="N/A"</formula>
    </cfRule>
  </conditionalFormatting>
  <conditionalFormatting sqref="H55">
    <cfRule type="expression" priority="342" aboveAverage="0" equalAverage="0" bottom="0" percent="0" rank="0" text="" dxfId="1">
      <formula>AND(ISNUMBER(H55),H55&gt;PBI_G)</formula>
    </cfRule>
    <cfRule type="expression" priority="343" aboveAverage="0" equalAverage="0" bottom="0" percent="0" rank="0" text="" dxfId="2">
      <formula>AND(ISNUMBER(H55),H55&lt;=PBI_G,H55&gt;=PBI_R)</formula>
    </cfRule>
    <cfRule type="expression" priority="344" aboveAverage="0" equalAverage="0" bottom="0" percent="0" rank="0" text="" dxfId="0">
      <formula>AND(ISNUMBER(H55),H55&lt;PBI_R)</formula>
    </cfRule>
    <cfRule type="expression" priority="345" aboveAverage="0" equalAverage="0" bottom="0" percent="0" rank="0" text="" dxfId="3">
      <formula>H55="N/A"</formula>
    </cfRule>
  </conditionalFormatting>
  <conditionalFormatting sqref="J55">
    <cfRule type="expression" priority="346" aboveAverage="0" equalAverage="0" bottom="0" percent="0" rank="0" text="" dxfId="1">
      <formula>AND(ISNUMBER(J55),J55&gt;PBI_G)</formula>
    </cfRule>
    <cfRule type="expression" priority="347" aboveAverage="0" equalAverage="0" bottom="0" percent="0" rank="0" text="" dxfId="2">
      <formula>AND(ISNUMBER(J55),J55&lt;=PBI_G,J55&gt;=PBI_R)</formula>
    </cfRule>
    <cfRule type="expression" priority="348" aboveAverage="0" equalAverage="0" bottom="0" percent="0" rank="0" text="" dxfId="0">
      <formula>AND(ISNUMBER(J55),J55&lt;PBI_R)</formula>
    </cfRule>
    <cfRule type="expression" priority="349" aboveAverage="0" equalAverage="0" bottom="0" percent="0" rank="0" text="" dxfId="3">
      <formula>J55="N/A"</formula>
    </cfRule>
  </conditionalFormatting>
  <conditionalFormatting sqref="L55">
    <cfRule type="expression" priority="350" aboveAverage="0" equalAverage="0" bottom="0" percent="0" rank="0" text="" dxfId="1">
      <formula>AND(ISNUMBER(L55),L55&gt;PBI_G)</formula>
    </cfRule>
    <cfRule type="expression" priority="351" aboveAverage="0" equalAverage="0" bottom="0" percent="0" rank="0" text="" dxfId="2">
      <formula>AND(ISNUMBER(L55),L55&lt;=PBI_G,L55&gt;=PBI_R)</formula>
    </cfRule>
    <cfRule type="expression" priority="352" aboveAverage="0" equalAverage="0" bottom="0" percent="0" rank="0" text="" dxfId="0">
      <formula>AND(ISNUMBER(L55),L55&lt;PBI_R)</formula>
    </cfRule>
    <cfRule type="expression" priority="353" aboveAverage="0" equalAverage="0" bottom="0" percent="0" rank="0" text="" dxfId="3">
      <formula>L55="N/A"</formula>
    </cfRule>
  </conditionalFormatting>
  <conditionalFormatting sqref="B56">
    <cfRule type="expression" priority="354" aboveAverage="0" equalAverage="0" bottom="0" percent="0" rank="0" text="" dxfId="1">
      <formula>AND(ISNUMBER(B56),B56&gt;PBI_G)</formula>
    </cfRule>
    <cfRule type="expression" priority="355" aboveAverage="0" equalAverage="0" bottom="0" percent="0" rank="0" text="" dxfId="2">
      <formula>AND(ISNUMBER(B56),B56&lt;=PBI_G,B56&gt;=PBI_R)</formula>
    </cfRule>
    <cfRule type="expression" priority="356" aboveAverage="0" equalAverage="0" bottom="0" percent="0" rank="0" text="" dxfId="0">
      <formula>AND(ISNUMBER(B56),B56&lt;PBI_R)</formula>
    </cfRule>
    <cfRule type="expression" priority="357" aboveAverage="0" equalAverage="0" bottom="0" percent="0" rank="0" text="" dxfId="3">
      <formula>B56="N/A"</formula>
    </cfRule>
  </conditionalFormatting>
  <conditionalFormatting sqref="D56">
    <cfRule type="expression" priority="358" aboveAverage="0" equalAverage="0" bottom="0" percent="0" rank="0" text="" dxfId="1">
      <formula>AND(ISNUMBER(D56),D56&gt;PBI_G)</formula>
    </cfRule>
    <cfRule type="expression" priority="359" aboveAverage="0" equalAverage="0" bottom="0" percent="0" rank="0" text="" dxfId="2">
      <formula>AND(ISNUMBER(D56),D56&lt;=PBI_G,D56&gt;=PBI_R)</formula>
    </cfRule>
    <cfRule type="expression" priority="360" aboveAverage="0" equalAverage="0" bottom="0" percent="0" rank="0" text="" dxfId="0">
      <formula>AND(ISNUMBER(D56),D56&lt;PBI_R)</formula>
    </cfRule>
    <cfRule type="expression" priority="361" aboveAverage="0" equalAverage="0" bottom="0" percent="0" rank="0" text="" dxfId="3">
      <formula>D56="N/A"</formula>
    </cfRule>
  </conditionalFormatting>
  <conditionalFormatting sqref="F56">
    <cfRule type="expression" priority="362" aboveAverage="0" equalAverage="0" bottom="0" percent="0" rank="0" text="" dxfId="1">
      <formula>AND(ISNUMBER(F56),F56&gt;PBI_G)</formula>
    </cfRule>
    <cfRule type="expression" priority="363" aboveAverage="0" equalAverage="0" bottom="0" percent="0" rank="0" text="" dxfId="2">
      <formula>AND(ISNUMBER(F56),F56&lt;=PBI_G,F56&gt;=PBI_R)</formula>
    </cfRule>
    <cfRule type="expression" priority="364" aboveAverage="0" equalAverage="0" bottom="0" percent="0" rank="0" text="" dxfId="0">
      <formula>AND(ISNUMBER(F56),F56&lt;PBI_R)</formula>
    </cfRule>
    <cfRule type="expression" priority="365" aboveAverage="0" equalAverage="0" bottom="0" percent="0" rank="0" text="" dxfId="3">
      <formula>F56="N/A"</formula>
    </cfRule>
  </conditionalFormatting>
  <conditionalFormatting sqref="H56">
    <cfRule type="expression" priority="366" aboveAverage="0" equalAverage="0" bottom="0" percent="0" rank="0" text="" dxfId="1">
      <formula>AND(ISNUMBER(H56),H56&gt;PBI_G)</formula>
    </cfRule>
    <cfRule type="expression" priority="367" aboveAverage="0" equalAverage="0" bottom="0" percent="0" rank="0" text="" dxfId="2">
      <formula>AND(ISNUMBER(H56),H56&lt;=PBI_G,H56&gt;=PBI_R)</formula>
    </cfRule>
    <cfRule type="expression" priority="368" aboveAverage="0" equalAverage="0" bottom="0" percent="0" rank="0" text="" dxfId="0">
      <formula>AND(ISNUMBER(H56),H56&lt;PBI_R)</formula>
    </cfRule>
    <cfRule type="expression" priority="369" aboveAverage="0" equalAverage="0" bottom="0" percent="0" rank="0" text="" dxfId="3">
      <formula>H56="N/A"</formula>
    </cfRule>
  </conditionalFormatting>
  <conditionalFormatting sqref="J56">
    <cfRule type="expression" priority="370" aboveAverage="0" equalAverage="0" bottom="0" percent="0" rank="0" text="" dxfId="1">
      <formula>AND(ISNUMBER(J56),J56&gt;PBI_G)</formula>
    </cfRule>
    <cfRule type="expression" priority="371" aboveAverage="0" equalAverage="0" bottom="0" percent="0" rank="0" text="" dxfId="2">
      <formula>AND(ISNUMBER(J56),J56&lt;=PBI_G,J56&gt;=PBI_R)</formula>
    </cfRule>
    <cfRule type="expression" priority="372" aboveAverage="0" equalAverage="0" bottom="0" percent="0" rank="0" text="" dxfId="0">
      <formula>AND(ISNUMBER(J56),J56&lt;PBI_R)</formula>
    </cfRule>
    <cfRule type="expression" priority="373" aboveAverage="0" equalAverage="0" bottom="0" percent="0" rank="0" text="" dxfId="3">
      <formula>J56="N/A"</formula>
    </cfRule>
  </conditionalFormatting>
  <conditionalFormatting sqref="L56">
    <cfRule type="expression" priority="374" aboveAverage="0" equalAverage="0" bottom="0" percent="0" rank="0" text="" dxfId="1">
      <formula>AND(ISNUMBER(L56),L56&gt;PBI_G)</formula>
    </cfRule>
    <cfRule type="expression" priority="375" aboveAverage="0" equalAverage="0" bottom="0" percent="0" rank="0" text="" dxfId="2">
      <formula>AND(ISNUMBER(L56),L56&lt;=PBI_G,L56&gt;=PBI_R)</formula>
    </cfRule>
    <cfRule type="expression" priority="376" aboveAverage="0" equalAverage="0" bottom="0" percent="0" rank="0" text="" dxfId="0">
      <formula>AND(ISNUMBER(L56),L56&lt;PBI_R)</formula>
    </cfRule>
    <cfRule type="expression" priority="377" aboveAverage="0" equalAverage="0" bottom="0" percent="0" rank="0" text="" dxfId="3">
      <formula>L56="N/A"</formula>
    </cfRule>
  </conditionalFormatting>
  <conditionalFormatting sqref="B57">
    <cfRule type="expression" priority="378" aboveAverage="0" equalAverage="0" bottom="0" percent="0" rank="0" text="" dxfId="1">
      <formula>AND(ISNUMBER(B57),B57&gt;PBI_G)</formula>
    </cfRule>
    <cfRule type="expression" priority="379" aboveAverage="0" equalAverage="0" bottom="0" percent="0" rank="0" text="" dxfId="2">
      <formula>AND(ISNUMBER(B57),B57&lt;=PBI_G,B57&gt;=PBI_R)</formula>
    </cfRule>
    <cfRule type="expression" priority="380" aboveAverage="0" equalAverage="0" bottom="0" percent="0" rank="0" text="" dxfId="0">
      <formula>AND(ISNUMBER(B57),B57&lt;PBI_R)</formula>
    </cfRule>
    <cfRule type="expression" priority="381" aboveAverage="0" equalAverage="0" bottom="0" percent="0" rank="0" text="" dxfId="3">
      <formula>B57="N/A"</formula>
    </cfRule>
  </conditionalFormatting>
  <conditionalFormatting sqref="D57">
    <cfRule type="expression" priority="382" aboveAverage="0" equalAverage="0" bottom="0" percent="0" rank="0" text="" dxfId="1">
      <formula>AND(ISNUMBER(D57),D57&gt;PBI_G)</formula>
    </cfRule>
    <cfRule type="expression" priority="383" aboveAverage="0" equalAverage="0" bottom="0" percent="0" rank="0" text="" dxfId="2">
      <formula>AND(ISNUMBER(D57),D57&lt;=PBI_G,D57&gt;=PBI_R)</formula>
    </cfRule>
    <cfRule type="expression" priority="384" aboveAverage="0" equalAverage="0" bottom="0" percent="0" rank="0" text="" dxfId="0">
      <formula>AND(ISNUMBER(D57),D57&lt;PBI_R)</formula>
    </cfRule>
    <cfRule type="expression" priority="385" aboveAverage="0" equalAverage="0" bottom="0" percent="0" rank="0" text="" dxfId="3">
      <formula>D57="N/A"</formula>
    </cfRule>
  </conditionalFormatting>
  <conditionalFormatting sqref="F57">
    <cfRule type="expression" priority="386" aboveAverage="0" equalAverage="0" bottom="0" percent="0" rank="0" text="" dxfId="1">
      <formula>AND(ISNUMBER(F57),F57&gt;PBI_G)</formula>
    </cfRule>
    <cfRule type="expression" priority="387" aboveAverage="0" equalAverage="0" bottom="0" percent="0" rank="0" text="" dxfId="2">
      <formula>AND(ISNUMBER(F57),F57&lt;=PBI_G,F57&gt;=PBI_R)</formula>
    </cfRule>
    <cfRule type="expression" priority="388" aboveAverage="0" equalAverage="0" bottom="0" percent="0" rank="0" text="" dxfId="0">
      <formula>AND(ISNUMBER(F57),F57&lt;PBI_R)</formula>
    </cfRule>
    <cfRule type="expression" priority="389" aboveAverage="0" equalAverage="0" bottom="0" percent="0" rank="0" text="" dxfId="3">
      <formula>F57="N/A"</formula>
    </cfRule>
  </conditionalFormatting>
  <conditionalFormatting sqref="H57">
    <cfRule type="expression" priority="390" aboveAverage="0" equalAverage="0" bottom="0" percent="0" rank="0" text="" dxfId="1">
      <formula>AND(ISNUMBER(H57),H57&gt;PBI_G)</formula>
    </cfRule>
    <cfRule type="expression" priority="391" aboveAverage="0" equalAverage="0" bottom="0" percent="0" rank="0" text="" dxfId="2">
      <formula>AND(ISNUMBER(H57),H57&lt;=PBI_G,H57&gt;=PBI_R)</formula>
    </cfRule>
    <cfRule type="expression" priority="392" aboveAverage="0" equalAverage="0" bottom="0" percent="0" rank="0" text="" dxfId="0">
      <formula>AND(ISNUMBER(H57),H57&lt;PBI_R)</formula>
    </cfRule>
    <cfRule type="expression" priority="393" aboveAverage="0" equalAverage="0" bottom="0" percent="0" rank="0" text="" dxfId="3">
      <formula>H57="N/A"</formula>
    </cfRule>
  </conditionalFormatting>
  <conditionalFormatting sqref="J57">
    <cfRule type="expression" priority="394" aboveAverage="0" equalAverage="0" bottom="0" percent="0" rank="0" text="" dxfId="1">
      <formula>AND(ISNUMBER(J57),J57&gt;PBI_G)</formula>
    </cfRule>
    <cfRule type="expression" priority="395" aboveAverage="0" equalAverage="0" bottom="0" percent="0" rank="0" text="" dxfId="2">
      <formula>AND(ISNUMBER(J57),J57&lt;=PBI_G,J57&gt;=PBI_R)</formula>
    </cfRule>
    <cfRule type="expression" priority="396" aboveAverage="0" equalAverage="0" bottom="0" percent="0" rank="0" text="" dxfId="0">
      <formula>AND(ISNUMBER(J57),J57&lt;PBI_R)</formula>
    </cfRule>
    <cfRule type="expression" priority="397" aboveAverage="0" equalAverage="0" bottom="0" percent="0" rank="0" text="" dxfId="3">
      <formula>J57="N/A"</formula>
    </cfRule>
  </conditionalFormatting>
  <conditionalFormatting sqref="L57">
    <cfRule type="expression" priority="398" aboveAverage="0" equalAverage="0" bottom="0" percent="0" rank="0" text="" dxfId="1">
      <formula>AND(ISNUMBER(L57),L57&gt;PBI_G)</formula>
    </cfRule>
    <cfRule type="expression" priority="399" aboveAverage="0" equalAverage="0" bottom="0" percent="0" rank="0" text="" dxfId="2">
      <formula>AND(ISNUMBER(L57),L57&lt;=PBI_G,L57&gt;=PBI_R)</formula>
    </cfRule>
    <cfRule type="expression" priority="400" aboveAverage="0" equalAverage="0" bottom="0" percent="0" rank="0" text="" dxfId="0">
      <formula>AND(ISNUMBER(L57),L57&lt;PBI_R)</formula>
    </cfRule>
    <cfRule type="expression" priority="401" aboveAverage="0" equalAverage="0" bottom="0" percent="0" rank="0" text="" dxfId="3">
      <formula>L57="N/A"</formula>
    </cfRule>
  </conditionalFormatting>
  <conditionalFormatting sqref="B60">
    <cfRule type="expression" priority="402" aboveAverage="0" equalAverage="0" bottom="0" percent="0" rank="0" text="" dxfId="1">
      <formula>AND(ISNUMBER(B60),B60&lt;=NCR_G)</formula>
    </cfRule>
    <cfRule type="expression" priority="403" aboveAverage="0" equalAverage="0" bottom="0" percent="0" rank="0" text="" dxfId="2">
      <formula>AND(ISNUMBER(B60),B60&gt;NCR_G,B60&lt;NCR_R)</formula>
    </cfRule>
    <cfRule type="expression" priority="404" aboveAverage="0" equalAverage="0" bottom="0" percent="0" rank="0" text="" dxfId="0">
      <formula>AND(ISNUMBER(B60),B60&gt;=NCR_R)</formula>
    </cfRule>
    <cfRule type="expression" priority="405" aboveAverage="0" equalAverage="0" bottom="0" percent="0" rank="0" text="" dxfId="3">
      <formula>B60="N/A"</formula>
    </cfRule>
  </conditionalFormatting>
  <conditionalFormatting sqref="D60">
    <cfRule type="expression" priority="406" aboveAverage="0" equalAverage="0" bottom="0" percent="0" rank="0" text="" dxfId="1">
      <formula>AND(ISNUMBER(D60),D60&gt;EQ_G)</formula>
    </cfRule>
    <cfRule type="expression" priority="407" aboveAverage="0" equalAverage="0" bottom="0" percent="0" rank="0" text="" dxfId="2">
      <formula>AND(ISNUMBER(D60),D60&lt;=EQ_G,D60&gt;=EQ_R)</formula>
    </cfRule>
    <cfRule type="expression" priority="408" aboveAverage="0" equalAverage="0" bottom="0" percent="0" rank="0" text="" dxfId="0">
      <formula>AND(ISNUMBER(D60),D60&lt;EQ_R)</formula>
    </cfRule>
    <cfRule type="expression" priority="409" aboveAverage="0" equalAverage="0" bottom="0" percent="0" rank="0" text="" dxfId="3">
      <formula>D60="N/A"</formula>
    </cfRule>
  </conditionalFormatting>
  <conditionalFormatting sqref="F60">
    <cfRule type="expression" priority="410" aboveAverage="0" equalAverage="0" bottom="0" percent="0" rank="0" text="" dxfId="1">
      <formula>AND(ISNUMBER(F60),F60&gt;INSP_G)</formula>
    </cfRule>
    <cfRule type="expression" priority="411" aboveAverage="0" equalAverage="0" bottom="0" percent="0" rank="0" text="" dxfId="2">
      <formula>AND(ISNUMBER(F60),F60&lt;=INSP_G,F60&gt;=INSP_R)</formula>
    </cfRule>
    <cfRule type="expression" priority="412" aboveAverage="0" equalAverage="0" bottom="0" percent="0" rank="0" text="" dxfId="0">
      <formula>AND(ISNUMBER(F60),F60&lt;INSP_R)</formula>
    </cfRule>
    <cfRule type="expression" priority="413" aboveAverage="0" equalAverage="0" bottom="0" percent="0" rank="0" text="" dxfId="3">
      <formula>F60="N/A"</formula>
    </cfRule>
  </conditionalFormatting>
  <conditionalFormatting sqref="H60">
    <cfRule type="expression" priority="414" aboveAverage="0" equalAverage="0" bottom="0" percent="0" rank="0" text="" dxfId="1">
      <formula>AND(ISNUMBER(H60),H60&gt;LTR_G)</formula>
    </cfRule>
    <cfRule type="expression" priority="415" aboveAverage="0" equalAverage="0" bottom="0" percent="0" rank="0" text="" dxfId="2">
      <formula>AND(ISNUMBER(H60),H60&lt;=LTR_G,H60&gt;=LTR_R)</formula>
    </cfRule>
    <cfRule type="expression" priority="416" aboveAverage="0" equalAverage="0" bottom="0" percent="0" rank="0" text="" dxfId="0">
      <formula>AND(ISNUMBER(H60),H60&lt;LTR_R)</formula>
    </cfRule>
    <cfRule type="expression" priority="417" aboveAverage="0" equalAverage="0" bottom="0" percent="0" rank="0" text="" dxfId="3">
      <formula>H60="N/A"</formula>
    </cfRule>
  </conditionalFormatting>
  <conditionalFormatting sqref="B61">
    <cfRule type="expression" priority="418" aboveAverage="0" equalAverage="0" bottom="0" percent="0" rank="0" text="" dxfId="1">
      <formula>AND(ISNUMBER(B61),B61&lt;=NCR_G)</formula>
    </cfRule>
    <cfRule type="expression" priority="419" aboveAverage="0" equalAverage="0" bottom="0" percent="0" rank="0" text="" dxfId="2">
      <formula>AND(ISNUMBER(B61),B61&gt;NCR_G,B61&lt;NCR_R)</formula>
    </cfRule>
    <cfRule type="expression" priority="420" aboveAverage="0" equalAverage="0" bottom="0" percent="0" rank="0" text="" dxfId="0">
      <formula>AND(ISNUMBER(B61),B61&gt;=NCR_R)</formula>
    </cfRule>
    <cfRule type="expression" priority="421" aboveAverage="0" equalAverage="0" bottom="0" percent="0" rank="0" text="" dxfId="3">
      <formula>B61="N/A"</formula>
    </cfRule>
  </conditionalFormatting>
  <conditionalFormatting sqref="D61">
    <cfRule type="expression" priority="422" aboveAverage="0" equalAverage="0" bottom="0" percent="0" rank="0" text="" dxfId="1">
      <formula>AND(ISNUMBER(D61),D61&gt;EQ_G)</formula>
    </cfRule>
    <cfRule type="expression" priority="423" aboveAverage="0" equalAverage="0" bottom="0" percent="0" rank="0" text="" dxfId="2">
      <formula>AND(ISNUMBER(D61),D61&lt;=EQ_G,D61&gt;=EQ_R)</formula>
    </cfRule>
    <cfRule type="expression" priority="424" aboveAverage="0" equalAverage="0" bottom="0" percent="0" rank="0" text="" dxfId="0">
      <formula>AND(ISNUMBER(D61),D61&lt;EQ_R)</formula>
    </cfRule>
    <cfRule type="expression" priority="425" aboveAverage="0" equalAverage="0" bottom="0" percent="0" rank="0" text="" dxfId="3">
      <formula>D61="N/A"</formula>
    </cfRule>
  </conditionalFormatting>
  <conditionalFormatting sqref="F61">
    <cfRule type="expression" priority="426" aboveAverage="0" equalAverage="0" bottom="0" percent="0" rank="0" text="" dxfId="1">
      <formula>AND(ISNUMBER(F61),F61&gt;INSP_G)</formula>
    </cfRule>
    <cfRule type="expression" priority="427" aboveAverage="0" equalAverage="0" bottom="0" percent="0" rank="0" text="" dxfId="2">
      <formula>AND(ISNUMBER(F61),F61&lt;=INSP_G,F61&gt;=INSP_R)</formula>
    </cfRule>
    <cfRule type="expression" priority="428" aboveAverage="0" equalAverage="0" bottom="0" percent="0" rank="0" text="" dxfId="0">
      <formula>AND(ISNUMBER(F61),F61&lt;INSP_R)</formula>
    </cfRule>
    <cfRule type="expression" priority="429" aboveAverage="0" equalAverage="0" bottom="0" percent="0" rank="0" text="" dxfId="3">
      <formula>F61="N/A"</formula>
    </cfRule>
  </conditionalFormatting>
  <conditionalFormatting sqref="H61">
    <cfRule type="expression" priority="430" aboveAverage="0" equalAverage="0" bottom="0" percent="0" rank="0" text="" dxfId="1">
      <formula>AND(ISNUMBER(H61),H61&gt;LTR_G)</formula>
    </cfRule>
    <cfRule type="expression" priority="431" aboveAverage="0" equalAverage="0" bottom="0" percent="0" rank="0" text="" dxfId="2">
      <formula>AND(ISNUMBER(H61),H61&lt;=LTR_G,H61&gt;=LTR_R)</formula>
    </cfRule>
    <cfRule type="expression" priority="432" aboveAverage="0" equalAverage="0" bottom="0" percent="0" rank="0" text="" dxfId="0">
      <formula>AND(ISNUMBER(H61),H61&lt;LTR_R)</formula>
    </cfRule>
    <cfRule type="expression" priority="433" aboveAverage="0" equalAverage="0" bottom="0" percent="0" rank="0" text="" dxfId="3">
      <formula>H61="N/A"</formula>
    </cfRule>
  </conditionalFormatting>
  <conditionalFormatting sqref="B62">
    <cfRule type="expression" priority="434" aboveAverage="0" equalAverage="0" bottom="0" percent="0" rank="0" text="" dxfId="1">
      <formula>AND(ISNUMBER(B62),B62&lt;=NCR_G)</formula>
    </cfRule>
    <cfRule type="expression" priority="435" aboveAverage="0" equalAverage="0" bottom="0" percent="0" rank="0" text="" dxfId="2">
      <formula>AND(ISNUMBER(B62),B62&gt;NCR_G,B62&lt;NCR_R)</formula>
    </cfRule>
    <cfRule type="expression" priority="436" aboveAverage="0" equalAverage="0" bottom="0" percent="0" rank="0" text="" dxfId="0">
      <formula>AND(ISNUMBER(B62),B62&gt;=NCR_R)</formula>
    </cfRule>
    <cfRule type="expression" priority="437" aboveAverage="0" equalAverage="0" bottom="0" percent="0" rank="0" text="" dxfId="3">
      <formula>B62="N/A"</formula>
    </cfRule>
  </conditionalFormatting>
  <conditionalFormatting sqref="D62">
    <cfRule type="expression" priority="438" aboveAverage="0" equalAverage="0" bottom="0" percent="0" rank="0" text="" dxfId="1">
      <formula>AND(ISNUMBER(D62),D62&gt;EQ_G)</formula>
    </cfRule>
    <cfRule type="expression" priority="439" aboveAverage="0" equalAverage="0" bottom="0" percent="0" rank="0" text="" dxfId="2">
      <formula>AND(ISNUMBER(D62),D62&lt;=EQ_G,D62&gt;=EQ_R)</formula>
    </cfRule>
    <cfRule type="expression" priority="440" aboveAverage="0" equalAverage="0" bottom="0" percent="0" rank="0" text="" dxfId="0">
      <formula>AND(ISNUMBER(D62),D62&lt;EQ_R)</formula>
    </cfRule>
    <cfRule type="expression" priority="441" aboveAverage="0" equalAverage="0" bottom="0" percent="0" rank="0" text="" dxfId="3">
      <formula>D62="N/A"</formula>
    </cfRule>
  </conditionalFormatting>
  <conditionalFormatting sqref="F62">
    <cfRule type="expression" priority="442" aboveAverage="0" equalAverage="0" bottom="0" percent="0" rank="0" text="" dxfId="1">
      <formula>AND(ISNUMBER(F62),F62&gt;INSP_G)</formula>
    </cfRule>
    <cfRule type="expression" priority="443" aboveAverage="0" equalAverage="0" bottom="0" percent="0" rank="0" text="" dxfId="2">
      <formula>AND(ISNUMBER(F62),F62&lt;=INSP_G,F62&gt;=INSP_R)</formula>
    </cfRule>
    <cfRule type="expression" priority="444" aboveAverage="0" equalAverage="0" bottom="0" percent="0" rank="0" text="" dxfId="0">
      <formula>AND(ISNUMBER(F62),F62&lt;INSP_R)</formula>
    </cfRule>
    <cfRule type="expression" priority="445" aboveAverage="0" equalAverage="0" bottom="0" percent="0" rank="0" text="" dxfId="3">
      <formula>F62="N/A"</formula>
    </cfRule>
  </conditionalFormatting>
  <conditionalFormatting sqref="H62">
    <cfRule type="expression" priority="446" aboveAverage="0" equalAverage="0" bottom="0" percent="0" rank="0" text="" dxfId="1">
      <formula>AND(ISNUMBER(H62),H62&gt;LTR_G)</formula>
    </cfRule>
    <cfRule type="expression" priority="447" aboveAverage="0" equalAverage="0" bottom="0" percent="0" rank="0" text="" dxfId="2">
      <formula>AND(ISNUMBER(H62),H62&lt;=LTR_G,H62&gt;=LTR_R)</formula>
    </cfRule>
    <cfRule type="expression" priority="448" aboveAverage="0" equalAverage="0" bottom="0" percent="0" rank="0" text="" dxfId="0">
      <formula>AND(ISNUMBER(H62),H62&lt;LTR_R)</formula>
    </cfRule>
    <cfRule type="expression" priority="449" aboveAverage="0" equalAverage="0" bottom="0" percent="0" rank="0" text="" dxfId="3">
      <formula>H62="N/A"</formula>
    </cfRule>
  </conditionalFormatting>
  <conditionalFormatting sqref="B63">
    <cfRule type="expression" priority="450" aboveAverage="0" equalAverage="0" bottom="0" percent="0" rank="0" text="" dxfId="1">
      <formula>AND(ISNUMBER(B63),B63&lt;=NCR_G)</formula>
    </cfRule>
    <cfRule type="expression" priority="451" aboveAverage="0" equalAverage="0" bottom="0" percent="0" rank="0" text="" dxfId="2">
      <formula>AND(ISNUMBER(B63),B63&gt;NCR_G,B63&lt;NCR_R)</formula>
    </cfRule>
    <cfRule type="expression" priority="452" aboveAverage="0" equalAverage="0" bottom="0" percent="0" rank="0" text="" dxfId="0">
      <formula>AND(ISNUMBER(B63),B63&gt;=NCR_R)</formula>
    </cfRule>
    <cfRule type="expression" priority="453" aboveAverage="0" equalAverage="0" bottom="0" percent="0" rank="0" text="" dxfId="3">
      <formula>B63="N/A"</formula>
    </cfRule>
  </conditionalFormatting>
  <conditionalFormatting sqref="D63">
    <cfRule type="expression" priority="454" aboveAverage="0" equalAverage="0" bottom="0" percent="0" rank="0" text="" dxfId="1">
      <formula>AND(ISNUMBER(D63),D63&gt;EQ_G)</formula>
    </cfRule>
    <cfRule type="expression" priority="455" aboveAverage="0" equalAverage="0" bottom="0" percent="0" rank="0" text="" dxfId="2">
      <formula>AND(ISNUMBER(D63),D63&lt;=EQ_G,D63&gt;=EQ_R)</formula>
    </cfRule>
    <cfRule type="expression" priority="456" aboveAverage="0" equalAverage="0" bottom="0" percent="0" rank="0" text="" dxfId="0">
      <formula>AND(ISNUMBER(D63),D63&lt;EQ_R)</formula>
    </cfRule>
    <cfRule type="expression" priority="457" aboveAverage="0" equalAverage="0" bottom="0" percent="0" rank="0" text="" dxfId="3">
      <formula>D63="N/A"</formula>
    </cfRule>
  </conditionalFormatting>
  <conditionalFormatting sqref="F63">
    <cfRule type="expression" priority="458" aboveAverage="0" equalAverage="0" bottom="0" percent="0" rank="0" text="" dxfId="1">
      <formula>AND(ISNUMBER(F63),F63&gt;INSP_G)</formula>
    </cfRule>
    <cfRule type="expression" priority="459" aboveAverage="0" equalAverage="0" bottom="0" percent="0" rank="0" text="" dxfId="2">
      <formula>AND(ISNUMBER(F63),F63&lt;=INSP_G,F63&gt;=INSP_R)</formula>
    </cfRule>
    <cfRule type="expression" priority="460" aboveAverage="0" equalAverage="0" bottom="0" percent="0" rank="0" text="" dxfId="0">
      <formula>AND(ISNUMBER(F63),F63&lt;INSP_R)</formula>
    </cfRule>
    <cfRule type="expression" priority="461" aboveAverage="0" equalAverage="0" bottom="0" percent="0" rank="0" text="" dxfId="3">
      <formula>F63="N/A"</formula>
    </cfRule>
  </conditionalFormatting>
  <conditionalFormatting sqref="H63">
    <cfRule type="expression" priority="462" aboveAverage="0" equalAverage="0" bottom="0" percent="0" rank="0" text="" dxfId="1">
      <formula>AND(ISNUMBER(H63),H63&gt;LTR_G)</formula>
    </cfRule>
    <cfRule type="expression" priority="463" aboveAverage="0" equalAverage="0" bottom="0" percent="0" rank="0" text="" dxfId="2">
      <formula>AND(ISNUMBER(H63),H63&lt;=LTR_G,H63&gt;=LTR_R)</formula>
    </cfRule>
    <cfRule type="expression" priority="464" aboveAverage="0" equalAverage="0" bottom="0" percent="0" rank="0" text="" dxfId="0">
      <formula>AND(ISNUMBER(H63),H63&lt;LTR_R)</formula>
    </cfRule>
    <cfRule type="expression" priority="465" aboveAverage="0" equalAverage="0" bottom="0" percent="0" rank="0" text="" dxfId="3">
      <formula>H63="N/A"</formula>
    </cfRule>
  </conditionalFormatting>
  <conditionalFormatting sqref="B64">
    <cfRule type="expression" priority="466" aboveAverage="0" equalAverage="0" bottom="0" percent="0" rank="0" text="" dxfId="1">
      <formula>AND(ISNUMBER(B64),B64&lt;=NCR_G)</formula>
    </cfRule>
    <cfRule type="expression" priority="467" aboveAverage="0" equalAverage="0" bottom="0" percent="0" rank="0" text="" dxfId="2">
      <formula>AND(ISNUMBER(B64),B64&gt;NCR_G,B64&lt;NCR_R)</formula>
    </cfRule>
    <cfRule type="expression" priority="468" aboveAverage="0" equalAverage="0" bottom="0" percent="0" rank="0" text="" dxfId="0">
      <formula>AND(ISNUMBER(B64),B64&gt;=NCR_R)</formula>
    </cfRule>
    <cfRule type="expression" priority="469" aboveAverage="0" equalAverage="0" bottom="0" percent="0" rank="0" text="" dxfId="3">
      <formula>B64="N/A"</formula>
    </cfRule>
  </conditionalFormatting>
  <conditionalFormatting sqref="D64">
    <cfRule type="expression" priority="470" aboveAverage="0" equalAverage="0" bottom="0" percent="0" rank="0" text="" dxfId="1">
      <formula>AND(ISNUMBER(D64),D64&gt;EQ_G)</formula>
    </cfRule>
    <cfRule type="expression" priority="471" aboveAverage="0" equalAverage="0" bottom="0" percent="0" rank="0" text="" dxfId="2">
      <formula>AND(ISNUMBER(D64),D64&lt;=EQ_G,D64&gt;=EQ_R)</formula>
    </cfRule>
    <cfRule type="expression" priority="472" aboveAverage="0" equalAverage="0" bottom="0" percent="0" rank="0" text="" dxfId="0">
      <formula>AND(ISNUMBER(D64),D64&lt;EQ_R)</formula>
    </cfRule>
    <cfRule type="expression" priority="473" aboveAverage="0" equalAverage="0" bottom="0" percent="0" rank="0" text="" dxfId="3">
      <formula>D64="N/A"</formula>
    </cfRule>
  </conditionalFormatting>
  <conditionalFormatting sqref="F64">
    <cfRule type="expression" priority="474" aboveAverage="0" equalAverage="0" bottom="0" percent="0" rank="0" text="" dxfId="1">
      <formula>AND(ISNUMBER(F64),F64&gt;INSP_G)</formula>
    </cfRule>
    <cfRule type="expression" priority="475" aboveAverage="0" equalAverage="0" bottom="0" percent="0" rank="0" text="" dxfId="2">
      <formula>AND(ISNUMBER(F64),F64&lt;=INSP_G,F64&gt;=INSP_R)</formula>
    </cfRule>
    <cfRule type="expression" priority="476" aboveAverage="0" equalAverage="0" bottom="0" percent="0" rank="0" text="" dxfId="0">
      <formula>AND(ISNUMBER(F64),F64&lt;INSP_R)</formula>
    </cfRule>
    <cfRule type="expression" priority="477" aboveAverage="0" equalAverage="0" bottom="0" percent="0" rank="0" text="" dxfId="3">
      <formula>F64="N/A"</formula>
    </cfRule>
  </conditionalFormatting>
  <conditionalFormatting sqref="H64">
    <cfRule type="expression" priority="478" aboveAverage="0" equalAverage="0" bottom="0" percent="0" rank="0" text="" dxfId="1">
      <formula>AND(ISNUMBER(H64),H64&gt;LTR_G)</formula>
    </cfRule>
    <cfRule type="expression" priority="479" aboveAverage="0" equalAverage="0" bottom="0" percent="0" rank="0" text="" dxfId="2">
      <formula>AND(ISNUMBER(H64),H64&lt;=LTR_G,H64&gt;=LTR_R)</formula>
    </cfRule>
    <cfRule type="expression" priority="480" aboveAverage="0" equalAverage="0" bottom="0" percent="0" rank="0" text="" dxfId="0">
      <formula>AND(ISNUMBER(H64),H64&lt;LTR_R)</formula>
    </cfRule>
    <cfRule type="expression" priority="481" aboveAverage="0" equalAverage="0" bottom="0" percent="0" rank="0" text="" dxfId="3">
      <formula>H64="N/A"</formula>
    </cfRule>
  </conditionalFormatting>
  <conditionalFormatting sqref="B65">
    <cfRule type="expression" priority="482" aboveAverage="0" equalAverage="0" bottom="0" percent="0" rank="0" text="" dxfId="1">
      <formula>AND(ISNUMBER(B65),B65&lt;=NCR_G)</formula>
    </cfRule>
    <cfRule type="expression" priority="483" aboveAverage="0" equalAverage="0" bottom="0" percent="0" rank="0" text="" dxfId="2">
      <formula>AND(ISNUMBER(B65),B65&gt;NCR_G,B65&lt;NCR_R)</formula>
    </cfRule>
    <cfRule type="expression" priority="484" aboveAverage="0" equalAverage="0" bottom="0" percent="0" rank="0" text="" dxfId="0">
      <formula>AND(ISNUMBER(B65),B65&gt;=NCR_R)</formula>
    </cfRule>
    <cfRule type="expression" priority="485" aboveAverage="0" equalAverage="0" bottom="0" percent="0" rank="0" text="" dxfId="3">
      <formula>B65="N/A"</formula>
    </cfRule>
  </conditionalFormatting>
  <conditionalFormatting sqref="D65">
    <cfRule type="expression" priority="486" aboveAverage="0" equalAverage="0" bottom="0" percent="0" rank="0" text="" dxfId="1">
      <formula>AND(ISNUMBER(D65),D65&gt;EQ_G)</formula>
    </cfRule>
    <cfRule type="expression" priority="487" aboveAverage="0" equalAverage="0" bottom="0" percent="0" rank="0" text="" dxfId="2">
      <formula>AND(ISNUMBER(D65),D65&lt;=EQ_G,D65&gt;=EQ_R)</formula>
    </cfRule>
    <cfRule type="expression" priority="488" aboveAverage="0" equalAverage="0" bottom="0" percent="0" rank="0" text="" dxfId="0">
      <formula>AND(ISNUMBER(D65),D65&lt;EQ_R)</formula>
    </cfRule>
    <cfRule type="expression" priority="489" aboveAverage="0" equalAverage="0" bottom="0" percent="0" rank="0" text="" dxfId="3">
      <formula>D65="N/A"</formula>
    </cfRule>
  </conditionalFormatting>
  <conditionalFormatting sqref="F65">
    <cfRule type="expression" priority="490" aboveAverage="0" equalAverage="0" bottom="0" percent="0" rank="0" text="" dxfId="1">
      <formula>AND(ISNUMBER(F65),F65&gt;INSP_G)</formula>
    </cfRule>
    <cfRule type="expression" priority="491" aboveAverage="0" equalAverage="0" bottom="0" percent="0" rank="0" text="" dxfId="2">
      <formula>AND(ISNUMBER(F65),F65&lt;=INSP_G,F65&gt;=INSP_R)</formula>
    </cfRule>
    <cfRule type="expression" priority="492" aboveAverage="0" equalAverage="0" bottom="0" percent="0" rank="0" text="" dxfId="0">
      <formula>AND(ISNUMBER(F65),F65&lt;INSP_R)</formula>
    </cfRule>
    <cfRule type="expression" priority="493" aboveAverage="0" equalAverage="0" bottom="0" percent="0" rank="0" text="" dxfId="3">
      <formula>F65="N/A"</formula>
    </cfRule>
  </conditionalFormatting>
  <conditionalFormatting sqref="H65">
    <cfRule type="expression" priority="494" aboveAverage="0" equalAverage="0" bottom="0" percent="0" rank="0" text="" dxfId="1">
      <formula>AND(ISNUMBER(H65),H65&gt;LTR_G)</formula>
    </cfRule>
    <cfRule type="expression" priority="495" aboveAverage="0" equalAverage="0" bottom="0" percent="0" rank="0" text="" dxfId="2">
      <formula>AND(ISNUMBER(H65),H65&lt;=LTR_G,H65&gt;=LTR_R)</formula>
    </cfRule>
    <cfRule type="expression" priority="496" aboveAverage="0" equalAverage="0" bottom="0" percent="0" rank="0" text="" dxfId="0">
      <formula>AND(ISNUMBER(H65),H65&lt;LTR_R)</formula>
    </cfRule>
    <cfRule type="expression" priority="497" aboveAverage="0" equalAverage="0" bottom="0" percent="0" rank="0" text="" dxfId="3">
      <formula>H65="N/A"</formula>
    </cfRule>
  </conditionalFormatting>
  <conditionalFormatting sqref="B66">
    <cfRule type="expression" priority="498" aboveAverage="0" equalAverage="0" bottom="0" percent="0" rank="0" text="" dxfId="1">
      <formula>AND(ISNUMBER(B66),B66&lt;=NCR_G)</formula>
    </cfRule>
    <cfRule type="expression" priority="499" aboveAverage="0" equalAverage="0" bottom="0" percent="0" rank="0" text="" dxfId="2">
      <formula>AND(ISNUMBER(B66),B66&gt;NCR_G,B66&lt;NCR_R)</formula>
    </cfRule>
    <cfRule type="expression" priority="500" aboveAverage="0" equalAverage="0" bottom="0" percent="0" rank="0" text="" dxfId="0">
      <formula>AND(ISNUMBER(B66),B66&gt;=NCR_R)</formula>
    </cfRule>
    <cfRule type="expression" priority="501" aboveAverage="0" equalAverage="0" bottom="0" percent="0" rank="0" text="" dxfId="3">
      <formula>B66="N/A"</formula>
    </cfRule>
  </conditionalFormatting>
  <conditionalFormatting sqref="D66">
    <cfRule type="expression" priority="502" aboveAverage="0" equalAverage="0" bottom="0" percent="0" rank="0" text="" dxfId="1">
      <formula>AND(ISNUMBER(D66),D66&gt;EQ_G)</formula>
    </cfRule>
    <cfRule type="expression" priority="503" aboveAverage="0" equalAverage="0" bottom="0" percent="0" rank="0" text="" dxfId="2">
      <formula>AND(ISNUMBER(D66),D66&lt;=EQ_G,D66&gt;=EQ_R)</formula>
    </cfRule>
    <cfRule type="expression" priority="504" aboveAverage="0" equalAverage="0" bottom="0" percent="0" rank="0" text="" dxfId="0">
      <formula>AND(ISNUMBER(D66),D66&lt;EQ_R)</formula>
    </cfRule>
    <cfRule type="expression" priority="505" aboveAverage="0" equalAverage="0" bottom="0" percent="0" rank="0" text="" dxfId="3">
      <formula>D66="N/A"</formula>
    </cfRule>
  </conditionalFormatting>
  <conditionalFormatting sqref="F66">
    <cfRule type="expression" priority="506" aboveAverage="0" equalAverage="0" bottom="0" percent="0" rank="0" text="" dxfId="1">
      <formula>AND(ISNUMBER(F66),F66&gt;INSP_G)</formula>
    </cfRule>
    <cfRule type="expression" priority="507" aboveAverage="0" equalAverage="0" bottom="0" percent="0" rank="0" text="" dxfId="2">
      <formula>AND(ISNUMBER(F66),F66&lt;=INSP_G,F66&gt;=INSP_R)</formula>
    </cfRule>
    <cfRule type="expression" priority="508" aboveAverage="0" equalAverage="0" bottom="0" percent="0" rank="0" text="" dxfId="0">
      <formula>AND(ISNUMBER(F66),F66&lt;INSP_R)</formula>
    </cfRule>
    <cfRule type="expression" priority="509" aboveAverage="0" equalAverage="0" bottom="0" percent="0" rank="0" text="" dxfId="3">
      <formula>F66="N/A"</formula>
    </cfRule>
  </conditionalFormatting>
  <conditionalFormatting sqref="H66">
    <cfRule type="expression" priority="510" aboveAverage="0" equalAverage="0" bottom="0" percent="0" rank="0" text="" dxfId="1">
      <formula>AND(ISNUMBER(H66),H66&gt;LTR_G)</formula>
    </cfRule>
    <cfRule type="expression" priority="511" aboveAverage="0" equalAverage="0" bottom="0" percent="0" rank="0" text="" dxfId="2">
      <formula>AND(ISNUMBER(H66),H66&lt;=LTR_G,H66&gt;=LTR_R)</formula>
    </cfRule>
    <cfRule type="expression" priority="512" aboveAverage="0" equalAverage="0" bottom="0" percent="0" rank="0" text="" dxfId="0">
      <formula>AND(ISNUMBER(H66),H66&lt;LTR_R)</formula>
    </cfRule>
    <cfRule type="expression" priority="513" aboveAverage="0" equalAverage="0" bottom="0" percent="0" rank="0" text="" dxfId="3">
      <formula>H66="N/A"</formula>
    </cfRule>
  </conditionalFormatting>
  <conditionalFormatting sqref="B67">
    <cfRule type="expression" priority="514" aboveAverage="0" equalAverage="0" bottom="0" percent="0" rank="0" text="" dxfId="1">
      <formula>AND(ISNUMBER(B67),B67&lt;=NCR_G)</formula>
    </cfRule>
    <cfRule type="expression" priority="515" aboveAverage="0" equalAverage="0" bottom="0" percent="0" rank="0" text="" dxfId="2">
      <formula>AND(ISNUMBER(B67),B67&gt;NCR_G,B67&lt;NCR_R)</formula>
    </cfRule>
    <cfRule type="expression" priority="516" aboveAverage="0" equalAverage="0" bottom="0" percent="0" rank="0" text="" dxfId="0">
      <formula>AND(ISNUMBER(B67),B67&gt;=NCR_R)</formula>
    </cfRule>
    <cfRule type="expression" priority="517" aboveAverage="0" equalAverage="0" bottom="0" percent="0" rank="0" text="" dxfId="3">
      <formula>B67="N/A"</formula>
    </cfRule>
  </conditionalFormatting>
  <conditionalFormatting sqref="D67">
    <cfRule type="expression" priority="518" aboveAverage="0" equalAverage="0" bottom="0" percent="0" rank="0" text="" dxfId="1">
      <formula>AND(ISNUMBER(D67),D67&gt;EQ_G)</formula>
    </cfRule>
    <cfRule type="expression" priority="519" aboveAverage="0" equalAverage="0" bottom="0" percent="0" rank="0" text="" dxfId="2">
      <formula>AND(ISNUMBER(D67),D67&lt;=EQ_G,D67&gt;=EQ_R)</formula>
    </cfRule>
    <cfRule type="expression" priority="520" aboveAverage="0" equalAverage="0" bottom="0" percent="0" rank="0" text="" dxfId="0">
      <formula>AND(ISNUMBER(D67),D67&lt;EQ_R)</formula>
    </cfRule>
    <cfRule type="expression" priority="521" aboveAverage="0" equalAverage="0" bottom="0" percent="0" rank="0" text="" dxfId="3">
      <formula>D67="N/A"</formula>
    </cfRule>
  </conditionalFormatting>
  <conditionalFormatting sqref="F67">
    <cfRule type="expression" priority="522" aboveAverage="0" equalAverage="0" bottom="0" percent="0" rank="0" text="" dxfId="1">
      <formula>AND(ISNUMBER(F67),F67&gt;INSP_G)</formula>
    </cfRule>
    <cfRule type="expression" priority="523" aboveAverage="0" equalAverage="0" bottom="0" percent="0" rank="0" text="" dxfId="2">
      <formula>AND(ISNUMBER(F67),F67&lt;=INSP_G,F67&gt;=INSP_R)</formula>
    </cfRule>
    <cfRule type="expression" priority="524" aboveAverage="0" equalAverage="0" bottom="0" percent="0" rank="0" text="" dxfId="0">
      <formula>AND(ISNUMBER(F67),F67&lt;INSP_R)</formula>
    </cfRule>
    <cfRule type="expression" priority="525" aboveAverage="0" equalAverage="0" bottom="0" percent="0" rank="0" text="" dxfId="3">
      <formula>F67="N/A"</formula>
    </cfRule>
  </conditionalFormatting>
  <conditionalFormatting sqref="H67">
    <cfRule type="expression" priority="526" aboveAverage="0" equalAverage="0" bottom="0" percent="0" rank="0" text="" dxfId="1">
      <formula>AND(ISNUMBER(H67),H67&gt;LTR_G)</formula>
    </cfRule>
    <cfRule type="expression" priority="527" aboveAverage="0" equalAverage="0" bottom="0" percent="0" rank="0" text="" dxfId="2">
      <formula>AND(ISNUMBER(H67),H67&lt;=LTR_G,H67&gt;=LTR_R)</formula>
    </cfRule>
    <cfRule type="expression" priority="528" aboveAverage="0" equalAverage="0" bottom="0" percent="0" rank="0" text="" dxfId="0">
      <formula>AND(ISNUMBER(H67),H67&lt;LTR_R)</formula>
    </cfRule>
    <cfRule type="expression" priority="529" aboveAverage="0" equalAverage="0" bottom="0" percent="0" rank="0" text="" dxfId="3">
      <formula>H67="N/A"</formula>
    </cfRule>
  </conditionalFormatting>
  <conditionalFormatting sqref="B68">
    <cfRule type="expression" priority="530" aboveAverage="0" equalAverage="0" bottom="0" percent="0" rank="0" text="" dxfId="1">
      <formula>AND(ISNUMBER(B68),B68&lt;=NCR_G)</formula>
    </cfRule>
    <cfRule type="expression" priority="531" aboveAverage="0" equalAverage="0" bottom="0" percent="0" rank="0" text="" dxfId="2">
      <formula>AND(ISNUMBER(B68),B68&gt;NCR_G,B68&lt;NCR_R)</formula>
    </cfRule>
    <cfRule type="expression" priority="532" aboveAverage="0" equalAverage="0" bottom="0" percent="0" rank="0" text="" dxfId="0">
      <formula>AND(ISNUMBER(B68),B68&gt;=NCR_R)</formula>
    </cfRule>
    <cfRule type="expression" priority="533" aboveAverage="0" equalAverage="0" bottom="0" percent="0" rank="0" text="" dxfId="3">
      <formula>B68="N/A"</formula>
    </cfRule>
  </conditionalFormatting>
  <conditionalFormatting sqref="D68">
    <cfRule type="expression" priority="534" aboveAverage="0" equalAverage="0" bottom="0" percent="0" rank="0" text="" dxfId="1">
      <formula>AND(ISNUMBER(D68),D68&gt;EQ_G)</formula>
    </cfRule>
    <cfRule type="expression" priority="535" aboveAverage="0" equalAverage="0" bottom="0" percent="0" rank="0" text="" dxfId="2">
      <formula>AND(ISNUMBER(D68),D68&lt;=EQ_G,D68&gt;=EQ_R)</formula>
    </cfRule>
    <cfRule type="expression" priority="536" aboveAverage="0" equalAverage="0" bottom="0" percent="0" rank="0" text="" dxfId="0">
      <formula>AND(ISNUMBER(D68),D68&lt;EQ_R)</formula>
    </cfRule>
    <cfRule type="expression" priority="537" aboveAverage="0" equalAverage="0" bottom="0" percent="0" rank="0" text="" dxfId="3">
      <formula>D68="N/A"</formula>
    </cfRule>
  </conditionalFormatting>
  <conditionalFormatting sqref="F68">
    <cfRule type="expression" priority="538" aboveAverage="0" equalAverage="0" bottom="0" percent="0" rank="0" text="" dxfId="1">
      <formula>AND(ISNUMBER(F68),F68&gt;INSP_G)</formula>
    </cfRule>
    <cfRule type="expression" priority="539" aboveAverage="0" equalAverage="0" bottom="0" percent="0" rank="0" text="" dxfId="2">
      <formula>AND(ISNUMBER(F68),F68&lt;=INSP_G,F68&gt;=INSP_R)</formula>
    </cfRule>
    <cfRule type="expression" priority="540" aboveAverage="0" equalAverage="0" bottom="0" percent="0" rank="0" text="" dxfId="0">
      <formula>AND(ISNUMBER(F68),F68&lt;INSP_R)</formula>
    </cfRule>
    <cfRule type="expression" priority="541" aboveAverage="0" equalAverage="0" bottom="0" percent="0" rank="0" text="" dxfId="3">
      <formula>F68="N/A"</formula>
    </cfRule>
  </conditionalFormatting>
  <conditionalFormatting sqref="H68">
    <cfRule type="expression" priority="542" aboveAverage="0" equalAverage="0" bottom="0" percent="0" rank="0" text="" dxfId="1">
      <formula>AND(ISNUMBER(H68),H68&gt;LTR_G)</formula>
    </cfRule>
    <cfRule type="expression" priority="543" aboveAverage="0" equalAverage="0" bottom="0" percent="0" rank="0" text="" dxfId="2">
      <formula>AND(ISNUMBER(H68),H68&lt;=LTR_G,H68&gt;=LTR_R)</formula>
    </cfRule>
    <cfRule type="expression" priority="544" aboveAverage="0" equalAverage="0" bottom="0" percent="0" rank="0" text="" dxfId="0">
      <formula>AND(ISNUMBER(H68),H68&lt;LTR_R)</formula>
    </cfRule>
    <cfRule type="expression" priority="545" aboveAverage="0" equalAverage="0" bottom="0" percent="0" rank="0" text="" dxfId="3">
      <formula>H68="N/A"</formula>
    </cfRule>
  </conditionalFormatting>
  <dataValidations count="1">
    <dataValidation allowBlank="true" error="Enter a whole number of 0 or more." errorStyle="stop" errorTitle="Whole number required" operator="greaterThanOrEqual" showDropDown="false" showErrorMessage="true" showInputMessage="false" sqref="B76:M83 B89:M96 B102:B109 D102:I109" type="whole">
      <formula1>0</formula1>
      <formula2>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8D"/>
    <pageSetUpPr fitToPage="false"/>
  </sheetPr>
  <dimension ref="A2: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4" min="3" style="0" width="16"/>
    <col collapsed="false" customWidth="true" hidden="false" outlineLevel="0" max="5" min="5" style="0" width="60"/>
  </cols>
  <sheetData>
    <row r="2" customFormat="false" ht="22.05" hidden="false" customHeight="false" outlineLevel="0" collapsed="false">
      <c r="A2" s="55" t="s">
        <v>7</v>
      </c>
    </row>
    <row r="3" customFormat="false" ht="22.35" hidden="false" customHeight="false" outlineLevel="0" collapsed="false">
      <c r="A3" s="28" t="s">
        <v>118</v>
      </c>
    </row>
    <row r="4" customFormat="false" ht="21.75" hidden="false" customHeight="true" outlineLevel="0" collapsed="false">
      <c r="A4" s="3" t="s">
        <v>119</v>
      </c>
      <c r="B4" s="4"/>
      <c r="C4" s="4"/>
      <c r="D4" s="4"/>
      <c r="E4" s="4"/>
    </row>
    <row r="5" customFormat="false" ht="15" hidden="false" customHeight="false" outlineLevel="0" collapsed="false">
      <c r="A5" s="49" t="s">
        <v>120</v>
      </c>
      <c r="B5" s="56" t="n">
        <v>7</v>
      </c>
      <c r="E5" s="28" t="s">
        <v>121</v>
      </c>
    </row>
    <row r="6" customFormat="false" ht="15" hidden="false" customHeight="false" outlineLevel="0" collapsed="false">
      <c r="A6" s="49" t="s">
        <v>122</v>
      </c>
      <c r="B6" s="56" t="n">
        <v>6</v>
      </c>
    </row>
    <row r="7" customFormat="false" ht="15" hidden="false" customHeight="false" outlineLevel="0" collapsed="false">
      <c r="A7" s="49" t="s">
        <v>123</v>
      </c>
      <c r="B7" s="57" t="n">
        <v>46318</v>
      </c>
    </row>
    <row r="8" customFormat="false" ht="15" hidden="false" customHeight="false" outlineLevel="0" collapsed="false">
      <c r="A8" s="49" t="s">
        <v>124</v>
      </c>
      <c r="B8" s="49" t="str">
        <f aca="false">"P"&amp;B5</f>
        <v>P7</v>
      </c>
    </row>
    <row r="9" customFormat="false" ht="15" hidden="false" customHeight="false" outlineLevel="0" collapsed="false">
      <c r="A9" s="49" t="s">
        <v>125</v>
      </c>
      <c r="B9" s="49" t="str">
        <f aca="false">"P"&amp;B6</f>
        <v>P6</v>
      </c>
    </row>
    <row r="10" customFormat="false" ht="15" hidden="false" customHeight="false" outlineLevel="0" collapsed="false">
      <c r="A10" s="49" t="s">
        <v>126</v>
      </c>
      <c r="B10" s="49" t="str">
        <f aca="false">"Period "&amp;B5&amp;" – "&amp;TEXT(B7,"dd/mm/yyyy")</f>
        <v>Period 7 – 23/10/2026</v>
      </c>
    </row>
    <row r="12" customFormat="false" ht="21.75" hidden="false" customHeight="true" outlineLevel="0" collapsed="false">
      <c r="A12" s="3" t="s">
        <v>127</v>
      </c>
      <c r="B12" s="4"/>
      <c r="C12" s="4"/>
      <c r="D12" s="4"/>
      <c r="E12" s="4"/>
    </row>
    <row r="13" customFormat="false" ht="15" hidden="false" customHeight="false" outlineLevel="0" collapsed="false">
      <c r="A13" s="36" t="s">
        <v>128</v>
      </c>
      <c r="B13" s="36" t="s">
        <v>129</v>
      </c>
      <c r="C13" s="14" t="s">
        <v>130</v>
      </c>
      <c r="D13" s="14" t="s">
        <v>131</v>
      </c>
      <c r="E13" s="36" t="s">
        <v>132</v>
      </c>
    </row>
    <row r="14" customFormat="false" ht="30" hidden="false" customHeight="true" outlineLevel="0" collapsed="false">
      <c r="A14" s="46" t="s">
        <v>133</v>
      </c>
      <c r="B14" s="49" t="s">
        <v>134</v>
      </c>
      <c r="C14" s="58" t="n">
        <v>0.9</v>
      </c>
      <c r="D14" s="58" t="n">
        <v>0.75</v>
      </c>
      <c r="E14" s="59" t="s">
        <v>135</v>
      </c>
    </row>
    <row r="15" customFormat="false" ht="30" hidden="false" customHeight="true" outlineLevel="0" collapsed="false">
      <c r="A15" s="46" t="s">
        <v>87</v>
      </c>
      <c r="B15" s="49" t="s">
        <v>136</v>
      </c>
      <c r="C15" s="60" t="n">
        <v>2</v>
      </c>
      <c r="D15" s="60" t="n">
        <v>6</v>
      </c>
      <c r="E15" s="59" t="s">
        <v>137</v>
      </c>
    </row>
    <row r="16" customFormat="false" ht="30" hidden="false" customHeight="true" outlineLevel="0" collapsed="false">
      <c r="A16" s="46" t="s">
        <v>51</v>
      </c>
      <c r="B16" s="49" t="s">
        <v>138</v>
      </c>
      <c r="C16" s="58" t="n">
        <v>0.8</v>
      </c>
      <c r="D16" s="58" t="n">
        <v>0.7</v>
      </c>
      <c r="E16" s="59" t="s">
        <v>139</v>
      </c>
    </row>
    <row r="17" customFormat="false" ht="30" hidden="false" customHeight="true" outlineLevel="0" collapsed="false">
      <c r="A17" s="46" t="s">
        <v>52</v>
      </c>
      <c r="B17" s="49" t="s">
        <v>140</v>
      </c>
      <c r="C17" s="58" t="n">
        <v>0.95</v>
      </c>
      <c r="D17" s="58" t="n">
        <v>0.9</v>
      </c>
      <c r="E17" s="59" t="s">
        <v>141</v>
      </c>
    </row>
    <row r="18" customFormat="false" ht="30" hidden="false" customHeight="true" outlineLevel="0" collapsed="false">
      <c r="A18" s="46" t="s">
        <v>53</v>
      </c>
      <c r="B18" s="49" t="s">
        <v>142</v>
      </c>
      <c r="C18" s="58" t="n">
        <v>0.95</v>
      </c>
      <c r="D18" s="58" t="n">
        <v>0.7</v>
      </c>
      <c r="E18" s="59" t="s">
        <v>143</v>
      </c>
    </row>
  </sheetData>
  <dataValidations count="1">
    <dataValidation allowBlank="true" error="Enter a whole number of 0 or more." errorStyle="stop" errorTitle="Whole number required" operator="greaterThanOrEqual" showDropDown="false" showErrorMessage="true" showInputMessage="false" sqref="B5:B6"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2026-10-26T15:30:25Z</dcterms:created>
  <dc:creator>openpyxl</dc:creator>
  <dc:description/>
  <dc:language>en-US</dc:language>
  <cp:lastModifiedBy/>
  <dcterms:modified xsi:type="dcterms:W3CDTF">2026-10-26T15:30:26Z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